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templates\진단\"/>
    </mc:Choice>
  </mc:AlternateContent>
  <xr:revisionPtr revIDLastSave="0" documentId="13_ncr:1_{D4AD3897-F5AC-4C6B-A1CA-2FECD7333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표지" sheetId="1" r:id="rId1"/>
    <sheet name="01_4섹션_구조" sheetId="2" r:id="rId2"/>
    <sheet name="02_7단계_루브릭" sheetId="3" r:id="rId3"/>
    <sheet name="03_S1_AI활용_성숙도" sheetId="4" r:id="rId4"/>
    <sheet name="04_S2_AI_리터러시" sheetId="5" r:id="rId5"/>
    <sheet name="05_S3_커리큘럼_매핑" sheetId="6" r:id="rId6"/>
    <sheet name="06_S4_현업_과제" sheetId="7" r:id="rId7"/>
    <sheet name="07_진단_계획" sheetId="8" r:id="rId8"/>
    <sheet name="08_등급_산출" sheetId="9" r:id="rId9"/>
    <sheet name="09_역량_프로파일_템플릿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9" l="1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</calcChain>
</file>

<file path=xl/sharedStrings.xml><?xml version="1.0" encoding="utf-8"?>
<sst xmlns="http://schemas.openxmlformats.org/spreadsheetml/2006/main" count="685" uniqueCount="539">
  <si>
    <t>모두의연구소 AI 기업교육 | 개발자 대상 (기초 21H + 심화 56H)</t>
  </si>
  <si>
    <t>산출물 명</t>
  </si>
  <si>
    <t>AI 교육 사전 진단 설문 설계안</t>
  </si>
  <si>
    <t>버전</t>
  </si>
  <si>
    <t>v1.0 (2026-06-30)</t>
  </si>
  <si>
    <t>작성자</t>
  </si>
  <si>
    <t>모두의연구소 AI교육팀</t>
  </si>
  <si>
    <t>대상 과정</t>
  </si>
  <si>
    <t>개발자 AI 기초 교육 (21H) + 개발자 AI 심화 교육 (56H)</t>
  </si>
  <si>
    <t>진단 목적</t>
  </si>
  <si>
    <t>① 학습자의 현재 AI 활용 역량 수준 파악
② 기초/심화 과정 분반 객관적 근거 확보
③ 개인별 맞춤형 학습 경로 제안
④ 교육 효과성 사후 측정 (Pre-Post) 베이스라인 확보</t>
  </si>
  <si>
    <t>설문 소요 시간</t>
  </si>
  <si>
    <t>약 28분 (총 55문항)</t>
  </si>
  <si>
    <t>응시 방식</t>
  </si>
  <si>
    <t>온라인 (Google Forms 또는 Typeform) | 비식별 익명 처리</t>
  </si>
  <si>
    <t>산출물</t>
  </si>
  <si>
    <t>개인별 역량 프로파일 리포트 + 추천 학습 경로</t>
  </si>
  <si>
    <t>4개 섹션 구성</t>
  </si>
  <si>
    <t>S1. AI 활용 성숙도 자가진단 (Likert 5점, 정량)
S2. AI 핵심 리터러시 객관진단 (객관식+단답, 정량)
S3. 커리큘럼 역량 매핑 진단 (객관식+서술, 혼합)
S4. 현업 과제 &amp; AI 적용 니즈 진단 (개방형, 정성)</t>
  </si>
  <si>
    <t>7단계 역량 프레임워크</t>
  </si>
  <si>
    <t>L1 AI 인식형 → L2 기초 프롬프터 → L3 심화 프롬프터 → L4 컨텍스트 설계자 → L5 지식 통합 설계자 → L6 MCP/파이프라인 빌더 → L7 에이전트 오케스트레이터</t>
  </si>
  <si>
    <t>평가 차원 (4D)</t>
  </si>
  <si>
    <t>① Prompt Engineering  ② Context Engineering  ③ Harness Engineering  ④ Behavior &amp; Ethics</t>
  </si>
  <si>
    <t>리서치 근거</t>
  </si>
  <si>
    <t>UNESCO AI Competency Framework(2024), EU DigComp 2.2, Anthropic Claude Code 7-Strategy Framework(2025-2026), MCP Specification(2025-11-25), Stanford HAI AI Index 2026</t>
  </si>
  <si>
    <t>※ 본 설계안은 4차원 역량 루브릭(7단계) + 4개 섹션 진단 문항 + 채점 로직 + 결과 템플릿으로 구성됨.</t>
  </si>
  <si>
    <t>[4개 섹션 구조] 사전 진단 설문 구성</t>
  </si>
  <si>
    <t>평가 방식·문항 수·시간·채점 방법을 혼합하여 다차원 역량 진단</t>
  </si>
  <si>
    <t>#</t>
  </si>
  <si>
    <t>섹션 명 (Korean)</t>
  </si>
  <si>
    <t>섹션 명 (English)</t>
  </si>
  <si>
    <t>평가 방식</t>
  </si>
  <si>
    <t>문항 수</t>
  </si>
  <si>
    <t>시간</t>
  </si>
  <si>
    <t>채점 방법</t>
  </si>
  <si>
    <t>핵심 목적</t>
  </si>
  <si>
    <t>S1</t>
  </si>
  <si>
    <t>AI 활용 성숙도 자가진단</t>
  </si>
  <si>
    <t>AI Maturity Self-Assessment</t>
  </si>
  <si>
    <t>Likert 5점 척도 (정량)</t>
  </si>
  <si>
    <t>5분</t>
  </si>
  <si>
    <t>자동 합산</t>
  </si>
  <si>
    <t>학습자의 현재 AI 활용 수준 자가 인식 + 7단계 등급 산출의 주요 근거</t>
  </si>
  <si>
    <t>S2</t>
  </si>
  <si>
    <t>AI 핵심 리터러시 객관진단</t>
  </si>
  <si>
    <t>AI Literacy Quantitative Test</t>
  </si>
  <si>
    <t>객관식 4지선다 + 단답형 (정량)</t>
  </si>
  <si>
    <t>10분</t>
  </si>
  <si>
    <t>정답 대조 자동 채점</t>
  </si>
  <si>
    <t>AI 핵심 개념/용어/원리에 대한 객관적 지식 수준 측정</t>
  </si>
  <si>
    <t>S3</t>
  </si>
  <si>
    <t>커리큘럼 역량 매핑 진단</t>
  </si>
  <si>
    <t>Curriculum Fit Diagnostic</t>
  </si>
  <si>
    <t>용어(객관식, 정량) + 활용(서술, 정성)</t>
  </si>
  <si>
    <t>8분</t>
  </si>
  <si>
    <t>혼합 (자동+루브릭)</t>
  </si>
  <si>
    <t>제안 커리큘럼별 기대 역량 대비 학습자 적합도 + 사전 지식 결손 식별</t>
  </si>
  <si>
    <t>S4</t>
  </si>
  <si>
    <t>현업 과제 &amp; AI 적용 니즈 진단</t>
  </si>
  <si>
    <t>Workplace Context &amp; Use-Case Scan</t>
  </si>
  <si>
    <t>개방형 서술 (정성)</t>
  </si>
  <si>
    <t>정성 평가 + 키워드 매핑</t>
  </si>
  <si>
    <t>현업 업무 맥락 + 해결 과제 파악 → 교육 후 실무 적용 과제 사전 지정</t>
  </si>
  <si>
    <t>합계</t>
  </si>
  <si>
    <t>4개 섹션</t>
  </si>
  <si>
    <t>Total</t>
  </si>
  <si>
    <t>혼합 (정량 47 + 정성 8)</t>
  </si>
  <si>
    <t>28분</t>
  </si>
  <si>
    <t>통합 등급 산출</t>
  </si>
  <si>
    <t>L1~L7 등급 + 강점/보완점 + 추천 학습 경로</t>
  </si>
  <si>
    <t>※ 핵심 설계 원칙</t>
  </si>
  <si>
    <t>① 정량(S1+S2) + 정성(S3+S4) 혼합: 자기보고 편향(Dunning-Kruger) 보정</t>
  </si>
  <si>
    <t>② 7단계 루브릭 기반 등급 산출: L1~L7 국제 프레임워크(UNESCO/DigComp) + 2026 최신 트렌드(MCP/Agentic) 반영</t>
  </si>
  <si>
    <t>③ 섹션별 가중치 합산 → 종합 점수 → 등급 매핑 → 추천 트랙(기초/심화) 자동 제안</t>
  </si>
  <si>
    <t>④ 응답 부담 최소화: 5점 Likert (7점 대비 변별력 충분 + 응답 피로 감소)</t>
  </si>
  <si>
    <t>⑤ 익명 처리: 학습자 역량 비교 목적이 아닌, 맞춤 학습 경로 설계 목적 명시</t>
  </si>
  <si>
    <t>[7단계 역량 루브릭 v2.0] AI 활용 성숙도 모델 (2026 업데이트)</t>
  </si>
  <si>
    <t>Prompt / Context / Harness + Behavior &amp; Ethics 4차원 평가 | UNESCO + Anthropic + MCP 트렌드 반영</t>
  </si>
  <si>
    <t>Level</t>
  </si>
  <si>
    <t>단계명 (Korean)</t>
  </si>
  <si>
    <t>단계명 (English)</t>
  </si>
  <si>
    <t>정의 / 핵심 특징</t>
  </si>
  <si>
    <t>Prompt Engineering</t>
  </si>
  <si>
    <t>Context Engineering</t>
  </si>
  <si>
    <t>Harness Engineering</t>
  </si>
  <si>
    <t>Behavior &amp; Ethics</t>
  </si>
  <si>
    <t>추천 트랙</t>
  </si>
  <si>
    <t>L1</t>
  </si>
  <si>
    <t>AI 인식형</t>
  </si>
  <si>
    <t>Awareness / Naïve User</t>
  </si>
  <si>
    <t>AI를 단순 검색·번역 도구로 인식. 단답형 질문 위주. 결과를 비판 없이 수용.</t>
  </si>
  <si>
    <t>단답형 질문, 단어 위주 입력. 페르소나·출력형식 개념 미인지.</t>
  </si>
  <si>
    <t>맥락을 고려하지 않고 매번 새 질문. 이전 대화 무시.</t>
  </si>
  <si>
    <t>웹 챗봇 인터페이스(ChatGPT/Claude.ai)만 사용. 설치형 앱·API 미경험.</t>
  </si>
  <si>
    <t>주 1회 미만 사용. AI 출력 맹신 또는 불신. 할루시네이션 인지 부족.</t>
  </si>
  <si>
    <t>기초 (필수)</t>
  </si>
  <si>
    <t>L2</t>
  </si>
  <si>
    <t>기초 프롬프터</t>
  </si>
  <si>
    <t>Basic Prompter</t>
  </si>
  <si>
    <t>AI가 더 나은 답을 하도록 질문 형태 가다듬기 시작. 페르소나·출력형식 활용.</t>
  </si>
  <si>
    <t>페르소나 부여, 출력 형식(표/개조식) 지정, 구체적 조건 부여 가능.</t>
  </si>
  <si>
    <t>멀티 턴 대화로 추가 질문. 대화 세션을 주제별 분리.</t>
  </si>
  <si>
    <t>웹 UI 내 세션 관리. 자주 쓰는 프롬프트 노션/메모장 저장.</t>
  </si>
  <si>
    <t>주 1-3회 사용. 출력 검증 습관 형성 중. 개인정보 입력 주의 인지.</t>
  </si>
  <si>
    <t>L3</t>
  </si>
  <si>
    <t>심화 프롬프터</t>
  </si>
  <si>
    <t>Advanced Prompter</t>
  </si>
  <si>
    <t>논리적 추론을 유도하는 기법 이해·적용. Few-Shot, CoT, ReAct 활용.</t>
  </si>
  <si>
    <t>Few-Shot 예시 제공, CoT(단계별 추론) 지시, ReAct 패턴 적용.</t>
  </si>
  <si>
    <t>장문 문서 복붙, 파일 업로드로 배경지식 제공. 토큰 제한 개념 인지.</t>
  </si>
  <si>
    <t>프롬프트 템플릿화하여 재사용. Custom Instructions 실험.</t>
  </si>
  <si>
    <t>주 3회 이상 사용. 프롬프트 인젝션 위험 인지. 결과 비판적 검토 습관.</t>
  </si>
  <si>
    <t>기초 (심화)</t>
  </si>
  <si>
    <t>L4</t>
  </si>
  <si>
    <t>컨텍스트 설계자</t>
  </si>
  <si>
    <t>Context Engineer</t>
  </si>
  <si>
    <t>외부 데이터와 제약을 적극 주입하여 답변 제어. 할루시네이션 통제.</t>
  </si>
  <si>
    <t>할루시네이션 통제 위한 범위 제한·예외 처리. JSON/구조화 출력 강제.</t>
  </si>
  <si>
    <t>RAG 개념 이해. Custom Instructions / System Prompt 체계적 설계. CLAUDE.md 작성 경험.</t>
  </si>
  <si>
    <t>Custom GPT/GPTs 빌드. Zapier/Make로 노코드 자동화 시도.</t>
  </si>
  <si>
    <t>매일 사용. 업무 워크플로우 일부를 AI로 대체. 보안·개인정보 처리 가이드 인지.</t>
  </si>
  <si>
    <t>기초 or 심화</t>
  </si>
  <si>
    <t>L5</t>
  </si>
  <si>
    <t>지식 통합 설계자</t>
  </si>
  <si>
    <t>Knowledge Integrator</t>
  </si>
  <si>
    <t>AI를 외부 지식 베이스·도구와 결합. 팀/부서 단위 도입 기획.</t>
  </si>
  <si>
    <t>API/시스템 전달용 System Prompt와 User Prompt 명확 분리 설계.</t>
  </si>
  <si>
    <t>RAG 아키텍처 이해 (벡터 DB, 임베딩, 청킹). Hybrid/GraphRAG 개념 인지.</t>
  </si>
  <si>
    <t>API 연동 경험. GPTs 고급 빌드. 노코드 툴로 다중 단계 워크플로우 구축.</t>
  </si>
  <si>
    <t>팀 단위 AI 도입 기획. 데이터 거버넌스·라이선스 인식. 비용/지연시간 최적화 고려.</t>
  </si>
  <si>
    <t>심화 (필수)</t>
  </si>
  <si>
    <t>L6</t>
  </si>
  <si>
    <t>MCP/파이프라인 빌더</t>
  </si>
  <si>
    <t>Pipeline &amp; MCP Builder</t>
  </si>
  <si>
    <t>코드로 AI 작업 환경 구축. 자동화 파이프라인 설계. MCP 활용.</t>
  </si>
  <si>
    <t>Function Calling / Tool Use 적극 활용. 구조화된 도구 호출 설계.</t>
  </si>
  <si>
    <t>벡터 DB 직접 구현 (Chroma/Qdrant). GraphRAG/Self-RAG/CRAG 적용. 청킹 전략 수립.</t>
  </si>
  <si>
    <t>Python + LangChain/LangGraph 코드 작성. MCP 서버 활용. 스트리밍/비동기 처리.</t>
  </si>
  <si>
    <t>개발 워크플로우 전체 AI 통합. 모델 평가/모니터링 인식. 비용·지연 추적.</t>
  </si>
  <si>
    <t>L7</t>
  </si>
  <si>
    <t>에이전트 오케스트레이터</t>
  </si>
  <si>
    <t>Agentic System Architect</t>
  </si>
  <si>
    <t>독립적·안정적인 에이전트 시스템 설계·평가. 조직 단위 플랫폼 구축.</t>
  </si>
  <si>
    <t>복잡한 에이전트 워크플로우용 메타 프롬프트 설계. 보안·인젝션 방어 로직 구성.</t>
  </si>
  <si>
    <t>단기/장기 메모리 분리 관리. 무한 컨텍스트 처리 체계 설계. 커스텀 평가 파이프라인.</t>
  </si>
  <si>
    <t>자율형 AI 에이전트 구축. LLM-as-a-Judge 자체 평가. LLMOps 파이프라인. MCP 고급 활용.</t>
  </si>
  <si>
    <t>조직 단위 AI 플랫폼 설계·운영. Responsible AI/Alignment/평가 시스템 구축 주도.</t>
  </si>
  <si>
    <t>심화 (캡스톤)</t>
  </si>
  <si>
    <t>※ 2026 업데이트 포인트 (vs 기존 v1)</t>
  </si>
  <si>
    <t>L4: 'Context Shaper' → 'Context Engineer' (CLAUDE.md, Custom Instructions 체계화 강조)</t>
  </si>
  <si>
    <t>L5: 'Context Integrator' → 'Knowledge Integrator' (RAG 아키텍처 + 노코드 자동화 통합)</t>
  </si>
  <si>
    <t>L6: 'Harness Builder' → 'Pipeline &amp; MCP Builder' (MCP 서버, Tool Use 명시적 추가)</t>
  </si>
  <si>
    <t>L7: 'System Architect' → 'Agentic System Architect' (Agentic AI, LLM-as-a-Judge, LLMOps 반영)</t>
  </si>
  <si>
    <t>공통: Behavior &amp; Ethics 차원 독립 신설 (UNESCO Human-centred + Ethics 차원 반영)</t>
  </si>
  <si>
    <t>[S1] AI 활용 성숙도 자가진단 (Likert 5점)</t>
  </si>
  <si>
    <t>15문항 | 5분 | 정량 자동 채점 | 각 문항 1-5점 (총 15-75점)</t>
  </si>
  <si>
    <t>카테고리</t>
  </si>
  <si>
    <t>문항 (자가평가)</t>
  </si>
  <si>
    <t>측정 역량 축</t>
  </si>
  <si>
    <t>응답 옵션</t>
  </si>
  <si>
    <t>채점</t>
  </si>
  <si>
    <t>A1</t>
  </si>
  <si>
    <t>도구 활용 빈도</t>
  </si>
  <si>
    <t>나는 ChatGPT, Claude, Gemini 등 AI 챗봇을 주 ___ 사용한다.</t>
  </si>
  <si>
    <t>Behavior</t>
  </si>
  <si>
    <t>1=매일 2=주3-4회 3=주1-2회 4=월1-2회 5=거의 안 함</t>
  </si>
  <si>
    <t>역산 (빈도↑→점수↑)</t>
  </si>
  <si>
    <t>A2</t>
  </si>
  <si>
    <t>나는 AI 코딩 도구(Claude Code, Cursor, GitHub Copilot 등)를 ___ 사용한다.</t>
  </si>
  <si>
    <t>동일</t>
  </si>
  <si>
    <t>역산</t>
  </si>
  <si>
    <t>A3</t>
  </si>
  <si>
    <t>나는 업무용 AI 자동화 도구(Zapier, Make, n8n 등)를 ___ 사용한다.</t>
  </si>
  <si>
    <t>Harness</t>
  </si>
  <si>
    <t>B1</t>
  </si>
  <si>
    <t>프롬프트 설계</t>
  </si>
  <si>
    <t>나는 AI에게 역할(페르소나)을 부여하거나 출력 형식(표, JSON 등)을 지정해 본 적이 있다.</t>
  </si>
  <si>
    <t>Prompt</t>
  </si>
  <si>
    <t>1=매우 자주 ~ 5=전혀 없음</t>
  </si>
  <si>
    <t>B2</t>
  </si>
  <si>
    <t>나는 Few-Shot(예시 제공)이나 CoT(단계별 추론 지시) 기법을 의도적으로 사용해 본 적이 있다.</t>
  </si>
  <si>
    <t>B3</t>
  </si>
  <si>
    <t>나는 자주 쓰는 프롬프트를 템플릿화하여 저장·재사용한다.</t>
  </si>
  <si>
    <t>C1</t>
  </si>
  <si>
    <t>컨텍스트 활용</t>
  </si>
  <si>
    <t>나는 AI 응답의 할루시네이션을 통제하기 위해 제약 조건이나 예외 처리를 프롬프트에 추가한다.</t>
  </si>
  <si>
    <t>C2</t>
  </si>
  <si>
    <t>나는 Custom Instructions / System Prompt / CLAUDE.md 등을 설정해 AI 동작을 사전 세팅한다.</t>
  </si>
  <si>
    <t>Context</t>
  </si>
  <si>
    <t>C3</t>
  </si>
  <si>
    <t>나는 RAG(검색 증강 생성)의 개념을 이해하고, 문서 업로드나 벡터 DB를 활용해 본 적이 있다.</t>
  </si>
  <si>
    <t>D1</t>
  </si>
  <si>
    <t>워크플로우 통합</t>
  </si>
  <si>
    <t>나는 Custom GPT/GPTs를 만들거나 Zapier/Make로 AI 자동화 워크플로우를 구축한 적이 있다.</t>
  </si>
  <si>
    <t>D2</t>
  </si>
  <si>
    <t>나는 Python 등 코드로 AI API를 호출하거나 LangChain/LangGraph를 다뤄본 적이 있다.</t>
  </si>
  <si>
    <t>D3</t>
  </si>
  <si>
    <t>나는 MCP(Model Context Protocol)의 개념을 알고, MCP 서버를 활용해 본 적이 있다.</t>
  </si>
  <si>
    <t>E1</t>
  </si>
  <si>
    <t>학습 의지/태도</t>
  </si>
  <si>
    <t>나는 AI 도구를 더 깊이 학습하고 싶은 의지가 있다.</t>
  </si>
  <si>
    <t>1=매우 강함 ~ 5=전혀 없음</t>
  </si>
  <si>
    <t>E2</t>
  </si>
  <si>
    <t>나는 AI를 현업 업무에 적용할 구체적인 과제(pain point)를 가지고 있다.</t>
  </si>
  <si>
    <t>E3</t>
  </si>
  <si>
    <t>나는 AI 출력 결과를 비판적으로 검토하고, 출처/할루시네이션을 확인하는 습관이 있다.</t>
  </si>
  <si>
    <t>Ethics</t>
  </si>
  <si>
    <t>[S1 채점 로직]</t>
  </si>
  <si>
    <t>• 점수 변환: 응답값(1-5) → 점수(5-1) [빈도/빈도↑ = 고점, 부정응답 = 저점]</t>
  </si>
  <si>
    <t>• 만점: 15문항 × 5점 = 75점 / 최소: 15점</t>
  </si>
  <si>
    <t>• S1 점수 = SUM(역산 점수) → 시트 08 등급 산출에서 활용</t>
  </si>
  <si>
    <t>• 가중치: S1은 종합 점수의 25% 반영</t>
  </si>
  <si>
    <t>[S2] AI 핵심 리터러시 객관진단</t>
  </si>
  <si>
    <t>20문항 | 10분 | 객관식 4지선다 + 단답형 | 정량 자동 채점 (문항당 5점, 총 100점)</t>
  </si>
  <si>
    <t>영역</t>
  </si>
  <si>
    <t>문항</t>
  </si>
  <si>
    <t>선택지 / 답안 형식</t>
  </si>
  <si>
    <t>정답</t>
  </si>
  <si>
    <t>점수</t>
  </si>
  <si>
    <t>AI 기본 개념</t>
  </si>
  <si>
    <t>LLM(LLarge Language Model)의 핵심 학습 원리는?</t>
  </si>
  <si>
    <t>① 규칙 기반 매칭 ② 통계적 다음 토큰 예측 ③ 데이터베이스 검색 ④ 정해진 스크립트 실행</t>
  </si>
  <si>
    <t>②</t>
  </si>
  <si>
    <t>할루시네이션(Hallucination)이란?</t>
  </si>
  <si>
    <t>① AI가 거짓말을 의도적으로 함 ② AI가 사실이 아닌 내용을 그럴듯하게 생성 ③ AI 응답이 너무 느림 ④ AI가 사용자를 무시함</t>
  </si>
  <si>
    <t>토큰(Token)이란? (단답형)</t>
  </si>
  <si>
    <t>LLM이 텍스트를 처리하는 기본 단위 (단어/하위단어/문자 등)</t>
  </si>
  <si>
    <t>(서술)</t>
  </si>
  <si>
    <t>프롬프트 엔지니어링</t>
  </si>
  <si>
    <t>Few-Shot 프롬프팅이란?</t>
  </si>
  <si>
    <t>① 하나의 예시도 없이 질문 ② 여러 정답 예시를 제공하고 패턴 학습 유도 ③ 전문용어 최소화 ④ 짧은 질문만 허용</t>
  </si>
  <si>
    <t>Chain-of-Thought(CoT)의 핵심은?</t>
  </si>
  <si>
    <t>① 빠른 응답 강요 ② 단계별 추론 과정을 명시적으로 출력하도록 지시 ③ 이미지 첨부 ④ 병렬 질문</t>
  </si>
  <si>
    <t>페르소나(Persona) 부여의 효과는?</t>
  </si>
  <si>
    <t>① 응답 속도 향상 ② AI의 어조·관점·전문성 일관성 확보 ③ 토큰 절약 ④ 보안 강화</t>
  </si>
  <si>
    <t>RAG/컨텍스트</t>
  </si>
  <si>
    <t>RAG(검색 증강 생성)의 주 목적은?</t>
  </si>
  <si>
    <t>① 모델 크기 축소 ② 외부 지식 주입으로 최신성·사실성 향상 ③ 응답 속도 2배 ④ 토큰 비용 0원</t>
  </si>
  <si>
    <t>Context Window(컨텍스트 윈도우)란?</t>
  </si>
  <si>
    <t>① AI 모델의 학습 데이터 양 ② 모델이 한 번에 처리할 수 있는 입력 토큰 최대량 ③ GPU 메모리 크기 ④ 응답 길이 제한</t>
  </si>
  <si>
    <t>벡터 DB(Vector Database)의 역할은? (단답형)</t>
  </si>
  <si>
    <t>텍스트를 임베딩 벡터로 변환해 저장하고 의미적 유사도 검색을 제공</t>
  </si>
  <si>
    <t>C4</t>
  </si>
  <si>
    <t>Chunking(청킹) 전략이 중요한 이유는?</t>
  </si>
  <si>
    <t>① 모델 정확도와 무관 ② 검색 품질과 비용/지연에 직결 ③ 보안만 강화 ④ 속도만 개선</t>
  </si>
  <si>
    <t>MCP/Tool Use</t>
  </si>
  <si>
    <t>MCP(Model Context Protocol)는?</t>
  </si>
  <si>
    <t>① 새로운 LLM 모델 ② LLM과 외부 도구/데이터의 표준 연결 프로토콜 ③ AI 보안 인증 ④ 프롬프트 압축 기술</t>
  </si>
  <si>
    <t>Function Calling / Tool Use의 핵심 특성은?</t>
  </si>
  <si>
    <t>① AI가 정의된 함수/API를 자동 호출 ② 사용자가 직접 코드 작성 ③ LLM 학습 ④ 응답 압축</t>
  </si>
  <si>
    <t>①</t>
  </si>
  <si>
    <t>Agentic AI의 정의로 가장 적절한 것은?</t>
  </si>
  <si>
    <t>① 단순 질의응답 챗봇 ② 다단계 과업을 자율적으로 계획·실행·검증하는 AI 시스템 ③ 이미지 생성기 ④ 번역 도구</t>
  </si>
  <si>
    <t>Agentic AI</t>
  </si>
  <si>
    <t>LangGraph / LangChain의 차이로 가장 적절한 것은?</t>
  </si>
  <si>
    <t>① 동일 도구 ② LangGraph는 상태 기반 그래프 워크플로우, LangChain은 체인 기반 파이프라인 ③ 버전만 다름 ④ 회사만 다름</t>
  </si>
  <si>
    <t>LLM-as-a-Judge 평가 기법이란? (단답형)</t>
  </si>
  <si>
    <t>LLM이 다른 LLM의 출력을 자동 평가하는 방법론 (저비용 대규모 평가 가능)</t>
  </si>
  <si>
    <t>Multi-Agent System의 이점은?</t>
  </si>
  <si>
    <t>① 비용 증가만 ② 역할 분담으로 복잡 과업 처리 품질 향상 ③ 속도 감소 ④ 보안 취약</t>
  </si>
  <si>
    <t>E4</t>
  </si>
  <si>
    <t>Prompt Injection 공격이란?</t>
  </si>
  <si>
    <t>① 모델 가중치 해킹 ② 악성指令으로 AI 행동 조작 ③ 네트워크 차단 ④ 하드웨어 공격</t>
  </si>
  <si>
    <t>F1</t>
  </si>
  <si>
    <t>LLMOps/운영</t>
  </si>
  <si>
    <t>LLMOps의 핵심 목표는?</t>
  </si>
  <si>
    <t>① 모델 개발만 ② LLM 시스템의 배포·모니터링·평가·개선의 전 lifecycle 운영 ③ 데이터 라벨링 ④ 인프라 비용만 절감</t>
  </si>
  <si>
    <t>F2</t>
  </si>
  <si>
    <t>A/B 테스트 in LLMOps의 역할은?</t>
  </si>
  <si>
    <t>① UI 디자인 비교 ② 프롬프트/모델 버전별 응답 품질·비용·지연 비교 ③ 마케팅 캠페인 ④ 데이터 정제</t>
  </si>
  <si>
    <t>F3</t>
  </si>
  <si>
    <t>스트리밍 응답(Streaming)의 장점은?</t>
  </si>
  <si>
    <t>① 응답 품질 향상 ② 첫 토큰 지연시간 단축으로 UX 개선 ③ 비용 절감 ④ 보안 강화</t>
  </si>
  <si>
    <t>[S2 채점 로직]</t>
  </si>
  <si>
    <t>• 객관식 17문항: 정답 시 5점, 오답 0점</t>
  </si>
  <si>
    <t>• 단답형 3문항(A3, C3, E2): 키워드 매칭 (핵심 키워드 1개 이상 포함 시 5점, 부분 3점, 미포함 0점)</t>
  </si>
  <si>
    <t>• 만점: 100점 / 최소: 0점</t>
  </si>
  <si>
    <t>• 가중치: S2는 종합 점수의 35% 반영 (지식 중심, 가장 높은 비중)</t>
  </si>
  <si>
    <t>[S3] 커리큘럼 역량 매핑 진단</t>
  </si>
  <si>
    <t>12문항 | 8분 | 용어(객관식 6문항, 정량) + 활용(서술 6문항, 정성) | 커리큘럼별 사전 지식 결손 식별</t>
  </si>
  <si>
    <t>유형</t>
  </si>
  <si>
    <t>대상 모듈</t>
  </si>
  <si>
    <t>응답 / 채점 기준</t>
  </si>
  <si>
    <t>Q1</t>
  </si>
  <si>
    <t>객관식(용어)</t>
  </si>
  <si>
    <t>기초 M01: Claude Code/Codex CLI</t>
  </si>
  <si>
    <t>CLI 기반 AI 코딩 도구(Claude Code)의 장점이 아닌 것은?</t>
  </si>
  <si>
    <t>① 터미널에서 바로 실행 ② IDE 의존도 낮음 ③ 파일 시스템 직접 제어 ④ 클릭만으로 자동완성</t>
  </si>
  <si>
    <t>Q2</t>
  </si>
  <si>
    <t>기초 M01: Vibe Coding</t>
  </si>
  <si>
    <t>Vibe Coding(자연어 기반 코딩)의 핵심 철학은?</t>
  </si>
  <si>
    <t>① 정확한 문법 암기 ② 자연어로 의도 전달, AI가 코드 생성·수정 ③ 타이핑 속도 ④ 알고리즘 최적화</t>
  </si>
  <si>
    <t>Q3</t>
  </si>
  <si>
    <t>기초 M02: 하네스 엔지니어링</t>
  </si>
  <si>
    <t>하네스 엔지니어링(Harness Engineering)이란?</t>
  </si>
  <si>
    <t>① AI 안전망 설계 ② AI 작업 환경(도구·컨텍스트·자동화)을 통합 설계 ③ 말(말) 조련 ④ 보안 인증</t>
  </si>
  <si>
    <t>Q4</t>
  </si>
  <si>
    <t>기초 M02: 레거시 리팩토링</t>
  </si>
  <si>
    <t>AI 기반 레거시 코드 리팩토링의 올바른 순서는?</t>
  </si>
  <si>
    <t>① 코드 수정 → 테스트 작성 → 분석 ② 분석 → 테스트 작성 → 점진적 수정 → 검증 ③ 전체 재작성 ④ 무시</t>
  </si>
  <si>
    <t>Q5</t>
  </si>
  <si>
    <t>기초 M03: MCP 입문</t>
  </si>
  <si>
    <t>초보자가 MCP를 처음 학습할 때 가장 적절한 접근은?</t>
  </si>
  <si>
    <t>① 서버 직접 구현 ② 기존 MCP 서버 목록에서 필요한 것 활용 ③ 프로토콜 스펙 암기 ④ 보안 무시</t>
  </si>
  <si>
    <t>Q6</t>
  </si>
  <si>
    <t>심화 M01: 최신 RAG</t>
  </si>
  <si>
    <t>Self-RAG와 CRAG(Corrective RAG)의 공통 목적은?</t>
  </si>
  <si>
    <t>① 응답 속도 향상 ② 검색 품질을 자체 평가/보정하여 할루시네이션 감소 ③ 비용 절감 ④ 토큰 압축</t>
  </si>
  <si>
    <t>Q7</t>
  </si>
  <si>
    <t>서술(활용)</t>
  </si>
  <si>
    <t>기초 M01: AI 코딩 실무</t>
  </si>
  <si>
    <t>현재 본인의 개발 워크플로우에서 AI 코딩 도구를 어떻게 활용하고 있나요? (3-5문장)</t>
  </si>
  <si>
    <t>루브릭: 5점(구체 사례+효과 측정) / 3점(활용 언급) / 1점(미활용)</t>
  </si>
  <si>
    <t>Q8</t>
  </si>
  <si>
    <t>기초 M02: 코드 리뷰</t>
  </si>
  <si>
    <t>AI에게 코드 리뷰를 맡길 때, 어떤 컨텍스트와 제약을 프롬프트에 포함하시겠습니까?</t>
  </si>
  <si>
    <t>루브릭: 5점(맥락·제약·출력형식·할루시네이션 통제 명시) / 3점(부분) / 1점(단순 질문)</t>
  </si>
  <si>
    <t>Q9</t>
  </si>
  <si>
    <t>심화 M02: LangGraph</t>
  </si>
  <si>
    <t>LangGraph에서 State(상태)와 Memory(기억)의 차이를 설명하고, 언제 어떤 것을 쓸지 예를 드세요.</t>
  </si>
  <si>
    <t>루브릭: 5점(개념+사례+트레이드오프) / 3점(개념만) / 1점(오답)</t>
  </si>
  <si>
    <t>Q10</t>
  </si>
  <si>
    <t>심화 M03: 멀티에이전트</t>
  </si>
  <si>
    <t>본인이 진행 중인/예정인 프로젝트에서 멀티에이전트 시스템을 도입한다면 어떤 역할 분담을 설계하시겠습니까?</t>
  </si>
  <si>
    <t>루브릭: 5점(역할·통신·오류처리 구체) / 3점(역할만) / 1점(미흡)</t>
  </si>
  <si>
    <t>Q11</t>
  </si>
  <si>
    <t>심화 M04: LLMOps</t>
  </si>
  <si>
    <t>운영 중인 LLM 시스템에서 응답 품질 저하가 감지되었을 때, 어떤 평가 지표와 대응 프로세스를 사용하시겠습니까?</t>
  </si>
  <si>
    <t>루브릭: 5점(지표+원인분석+롤백+A/B) / 3점(부분) / 1점(미흡)</t>
  </si>
  <si>
    <t>Q12</t>
  </si>
  <si>
    <t>종합: 캡스톤</t>
  </si>
  <si>
    <t>본 과정 후반 캡스톤 프로젝트에서 구현하고 싶은 AI 시스템 아이디어를 한 페이지 내로 서술하세요.</t>
  </si>
  <si>
    <t>루브릭: 5점(문제-해결-아키텍처-예상효과 구체) / 3점(아이디어만) / 1점(미흡)</t>
  </si>
  <si>
    <t>[S3 채점 로직]</t>
  </si>
  <si>
    <t>• 객관식(Q1-Q6): 자동 채점, 문항당 5점 (총 30점)</t>
  </si>
  <si>
    <t>• 서술형(Q7-Q12): 루브릭 기반 강사 평가, 문항당 5점 (총 30점)</t>
  </si>
  <si>
    <t>• 만점: 60점 / 최소: 0점</t>
  </si>
  <si>
    <t>• 가중치: S3은 종합 점수의 25% 반영 (용어 15% + 활용 10%)</t>
  </si>
  <si>
    <t>• 활용 서술(Q7-Q12)은 트랙 배정(기초/심화)의 핵심 판단 근거로 활용</t>
  </si>
  <si>
    <t>[S4] 현업 과제 &amp; AI 적용 니즈 진단</t>
  </si>
  <si>
    <t>8문항 | 5분 | 개방형 서술 | 정성 평가 + 키워드 매핑 | 캡스톤 과제 사후 지정용</t>
  </si>
  <si>
    <t>응답 가이드</t>
  </si>
  <si>
    <t>분석 방법</t>
  </si>
  <si>
    <t>현재 업무 정의</t>
  </si>
  <si>
    <t>본인의 현재 직무·주요 책임·핵심 KPI를 3-5문장으로 서술해 주세요.</t>
  </si>
  <si>
    <t>직군·시니어도 추출 가능한 수준으로</t>
  </si>
  <si>
    <t>키워드 매핑 → 직군 분류</t>
  </si>
  <si>
    <t>주간 업무 시간 중 반복·수동 작업이 차지하는 비율(%)과 그 내용은?</t>
  </si>
  <si>
    <t>구체적 업무명 + 시간 비율(%)</t>
  </si>
  <si>
    <t>자동화 우선순위 후보 식별</t>
  </si>
  <si>
    <t>AI 사용 경험</t>
  </si>
  <si>
    <t>최근 3개월 내 업무에 AI를 적용해 본 사례가 있다면, 무엇을 어떻게 했고 결과는 어땠나요?</t>
  </si>
  <si>
    <t>사례 1-2개 / 성공·실패 모두 기재</t>
  </si>
  <si>
    <t>성숙도 교차 검증 (S1 대비)</t>
  </si>
  <si>
    <t>AI 도입 시도 중 가장 큰 장벽이었던 것은? (기술/조직/보안/비용/문화 등)</t>
  </si>
  <si>
    <t>복수 응답 가능, 구체 이유 포함</t>
  </si>
  <si>
    <t>교육 설계 반영 (장벽 해소 세션)</t>
  </si>
  <si>
    <t>Pain Point (과제)</t>
  </si>
  <si>
    <t>현재 업무에서 AI로 가장 먼저 해결하고 싶은 pain point TOP 3를 고르세요.</t>
  </si>
  <si>
    <t>① 보고서 작성 ② 코드 리뷰/테스트 ③ 데이터 분석 ④ 회의 요약 ⑤ 고객 응대 ⑥ 문서 검색 ⑦ 기타</t>
  </si>
  <si>
    <t>트랙별 모듈 강조도 조정</t>
  </si>
  <si>
    <t>위 pain point를 AI로 해결할 때, 기대하는 '성공 기준(Definition of Done)'은 무엇인가요?</t>
  </si>
  <si>
    <t>정량 지표(시간 단축 %, 비용 절감 등) 권장</t>
  </si>
  <si>
    <t>교육 후 성과 측정 베이스라인</t>
  </si>
  <si>
    <t>학습 목표 / 기대 효과</t>
  </si>
  <si>
    <t>본 교육 과정을 통해 가장 달성하고 싶은 학습 목표 1가지와, 그 이유는?</t>
  </si>
  <si>
    <t>구체적 역량 또는 산출물 수준</t>
  </si>
  <si>
    <t>개인별 학습 경로 커스터마이징</t>
  </si>
  <si>
    <t>교육 종료 후 3개월 내 현업에 적용해 볼 AI 프로젝트 아이디어를 한 문장으로 적어주세요.</t>
  </si>
  <si>
    <t>가능하면 팀/조직 단위 과제</t>
  </si>
  <si>
    <t>캡스톤 프로젝트 사전 지정</t>
  </si>
  <si>
    <t>[S4 분석 로직]</t>
  </si>
  <si>
    <t>• 정량 점수화 없음. 정성 평가 + 키워드 매핑만 수행</t>
  </si>
  <si>
    <t>• 직군/시니어도 자동 분류 → S1/S2/S3 결과와 교차 검증</t>
  </si>
  <si>
    <t>• Pain point 빈도 → 트랙별 모듈 강조도 조정 근거</t>
  </si>
  <si>
    <t>• 캡스톤 아이디어(Q8) → 심화 과정 M04 캡스톤 사전 과제 Pool로 활용</t>
  </si>
  <si>
    <t>• 가중치: S4는 종합 점수의 15% (정성 가산점) 반영</t>
  </si>
  <si>
    <t>[진단 운영 계획] 사전 진단 설문 실행 가이드</t>
  </si>
  <si>
    <t>응시 절차 / 채점 로직 / 등급 산출 / 결과 활용 / 일정</t>
  </si>
  <si>
    <t>1. 응시 대상</t>
  </si>
  <si>
    <t>• 기초 과정 지원자 전원 (30~35명 × 2분반 = 60~70명)
• 심화 과정 지원자 전원 (20명 이내)
• 총 응시 예상: 80~90명</t>
  </si>
  <si>
    <t>2. 응시 시기</t>
  </si>
  <si>
    <t>• 교육 시작 2주 전 사전 메일 발송
• 응시 기한: 메일 수신 후 7일
• 미응시자 1차 독려 (D-3), 2차 독려 (D-1)</t>
  </si>
  <si>
    <t>3. 응시 방식</t>
  </si>
  <si>
    <t>• Google Forms 또는 Typeform 구축
• 사번/이름 수집 (익명 처리 명시, 통계 목적 한정)
• 진행 시간: 약 28분 (타이머 비표시 - 자율 진행)</t>
  </si>
  <si>
    <t>4. 채점 로직 (자동화)</t>
  </si>
  <si>
    <t>• S1 (Likert): 자동 합산 → 15-75점
• S2 (객관식+단답): 자동 채점 → 0-100점 (단답형은 키워드 매칭 스크립트)
• S3-객관식 (Q1-Q6): 자동 채점 → 0-30점
• S3-서술 (Q7-Q12): 강사 루브릭 평가 → 0-30점 (교육 전주 1주 내)
• S4: 키워드 매핑 자동화 (Python 스크립트) → 정성 가산점</t>
  </si>
  <si>
    <t>5. 종합 점수 산출</t>
  </si>
  <si>
    <t>• 총점 = S1×0.25 + S2×0.35 + S3×0.25 + S4×0.15
  - S1: 75점 만점 → 100점 환산 후 25% 반영
  - S2: 100점 만점 → 그대로 35% 반영
  - S3: 60점 만점 → 100점 환산 후 25% 반영
  - S4: 루브릭 기반 0-100점 → 15% 반영
• 시트 08_등급_산출에서 자동 계산 (Excel formula)</t>
  </si>
  <si>
    <t>6. 등급 매핑</t>
  </si>
  <si>
    <t>• L1 (0-14점) / L2 (15-28점) / L3 (29-42점) / L4 (43-56점) / L5 (57-70점) / L6 (71-84점) / L7 (85-100점)
• 등급별 추천 트랙: L1-L3 → 기초, L4-L5 → 기초 심화 or 심화, L6-L7 → 심화</t>
  </si>
  <si>
    <t>7. 결과 산출물</t>
  </si>
  <si>
    <t>• 개인별 역량 프로파일 (시트 09 템플릿)
• 종합 등급 + 추천 트랙
• 강점/보완점 1페이지 요약
• 캡스톤 과제 후보 (심화자에 한함)</t>
  </si>
  <si>
    <t>8. 결과 활용</t>
  </si>
  <si>
    <t>• 분반 편성: 기초/심화 트랙 자동 추천
• 개인별 맞춤 학습 경로: 약점 보완 모듈 추가 추천
• 강사 사전 정보: 학습자 수준 분포 리포트
• Post 측정: 교육 종료 후 동일 설문 재실시 → 역량 상승량(Δ) 측정</t>
  </si>
  <si>
    <t>9. 개인정보 보호</t>
  </si>
  <si>
    <t>10. 품질 관리</t>
  </si>
  <si>
    <t>[등급 산출 시트] 종합 점수 → 등급 매핑 (Excel Formula 포함)</t>
  </si>
  <si>
    <t>응시자 데이터 입력 → 자동 점수 변환 → 가중 합산 → 등급 산출 → 추천 트랙</t>
  </si>
  <si>
    <t>응시자ID</t>
  </si>
  <si>
    <t>이름</t>
  </si>
  <si>
    <t>S1 원점수(/75)</t>
  </si>
  <si>
    <t>S2 원점수(/100)</t>
  </si>
  <si>
    <t>S3-객관식(/30)</t>
  </si>
  <si>
    <t>S3-서술(/30)</t>
  </si>
  <si>
    <t>S4 정성(/100)</t>
  </si>
  <si>
    <t>S1 환산</t>
  </si>
  <si>
    <t>S2 환산</t>
  </si>
  <si>
    <t>S3 환산</t>
  </si>
  <si>
    <t>※ 가중치:</t>
  </si>
  <si>
    <t>S1=25%, S2=35%, S3=25%(용어15+활용10), S4=15%</t>
  </si>
  <si>
    <t>(응시자 데이터)</t>
  </si>
  <si>
    <t>EMP001</t>
  </si>
  <si>
    <t>홍길동</t>
  </si>
  <si>
    <t>EMP002</t>
  </si>
  <si>
    <t>김철수</t>
  </si>
  <si>
    <t>EMP003</t>
  </si>
  <si>
    <t>이영희</t>
  </si>
  <si>
    <t>EMP004</t>
  </si>
  <si>
    <t>박개발</t>
  </si>
  <si>
    <t>EMP005</t>
  </si>
  <si>
    <t>최코딩</t>
  </si>
  <si>
    <t>[계산식 설명]</t>
  </si>
  <si>
    <t>• S1 환산 (100점 만점) = 원점수 / 75 × 100</t>
  </si>
  <si>
    <t>• S2 환산 = 원점수 그대로 (이미 100점 만점)</t>
  </si>
  <si>
    <t>• S3 환산 (100점 만점) = (객관식 + 서술) / 60 × 100</t>
  </si>
  <si>
    <t>• S4 환산 = 원점수 그대로 (루브릭 기반 100점 만점)</t>
  </si>
  <si>
    <t>• 종합 점수 = S1환산×0.25 + S2환산×0.35 + S3환산×0.25 + S4환산×0.15</t>
  </si>
  <si>
    <t>• 등급 산출: 종합 점수 → L1~L7 매핑 (아래 등급표 참조)</t>
  </si>
  <si>
    <t>• 추천 트랙: L1-L3 = 기초, L4-L5 = 기초심화 or 심화, L6-L7 = 심화</t>
  </si>
  <si>
    <t>[등급 매핑 테이블]</t>
  </si>
  <si>
    <t>등급</t>
  </si>
  <si>
    <t>단계명</t>
  </si>
  <si>
    <t>점수 구간</t>
  </si>
  <si>
    <t>교육 강조점</t>
  </si>
  <si>
    <t>비고</t>
  </si>
  <si>
    <t>0-14</t>
  </si>
  <si>
    <t>AI 기본 개념 + 도구 사용법</t>
  </si>
  <si>
    <t>완전 초보자</t>
  </si>
  <si>
    <t>15-28</t>
  </si>
  <si>
    <t>프롬프트 설계 + 실습</t>
  </si>
  <si>
    <t>단순 사용자 탈피</t>
  </si>
  <si>
    <t>29-42</t>
  </si>
  <si>
    <t>Few-Shot/CoT + 업무 적용</t>
  </si>
  <si>
    <t>실무 자료 첨부 학습</t>
  </si>
  <si>
    <t>43-56</t>
  </si>
  <si>
    <t>Context Eng + CLAUDE.md</t>
  </si>
  <si>
    <t>트랙 선택 분기점</t>
  </si>
  <si>
    <t>57-70</t>
  </si>
  <si>
    <t>RAG + 노코드 자동화</t>
  </si>
  <si>
    <t>심화 추천</t>
  </si>
  <si>
    <t>71-84</t>
  </si>
  <si>
    <t>LangGraph + MCP + 코드</t>
  </si>
  <si>
    <t>심화 핵심</t>
  </si>
  <si>
    <t>85-100</t>
  </si>
  <si>
    <t>LLMOps + Agentic 시스템</t>
  </si>
  <si>
    <t>캡스톤 리더</t>
  </si>
  <si>
    <t>[개인별 역량 프로파일] 결과 리포트 템플릿</t>
  </si>
  <si>
    <t>응시자별 자동 생성 결과 | 강점/보완점 + 추천 학습 경로 + 캡스톤 과제 제안</t>
  </si>
  <si>
    <t>■ 기본 정보</t>
  </si>
  <si>
    <t>응시자 ID</t>
  </si>
  <si>
    <t>{EMP_ID}</t>
  </si>
  <si>
    <t>익명 처리</t>
  </si>
  <si>
    <t>이름 (선택)</t>
  </si>
  <si>
    <t>{NAME}</t>
  </si>
  <si>
    <t>본인 확인용 한정</t>
  </si>
  <si>
    <t>직군</t>
  </si>
  <si>
    <t>{JOB_ROLE}</t>
  </si>
  <si>
    <t>S4-Q1 기반 자동 분류</t>
  </si>
  <si>
    <t>응시 일시</t>
  </si>
  <si>
    <t>{TIMESTAMP}</t>
  </si>
  <si>
    <t>자동 기록</t>
  </si>
  <si>
    <t>■ 섹션별 점수</t>
  </si>
  <si>
    <t>S1. AI 활용 성숙도</t>
  </si>
  <si>
    <t>{S1_SCORE} / 75 (환산 100: {S1_100})</t>
  </si>
  <si>
    <t>Likert 5점 15문항</t>
  </si>
  <si>
    <t>S2. AI 핵심 리터러시</t>
  </si>
  <si>
    <t>{S2_SCORE} / 100</t>
  </si>
  <si>
    <t>객관식+단답 20문항</t>
  </si>
  <si>
    <t>S3. 커리큘럼 역량 매핑</t>
  </si>
  <si>
    <t>{S3_SCORE} / 60 (객관식 {S3A} + 서술 {S3B})</t>
  </si>
  <si>
    <t>혼합 12문항</t>
  </si>
  <si>
    <t>S4. 현업 과제 니즈</t>
  </si>
  <si>
    <t>{S4_SCORE} / 100 (루브릭)</t>
  </si>
  <si>
    <t>개방형 8문항</t>
  </si>
  <si>
    <t>■ 종합 결과</t>
  </si>
  <si>
    <t>종합 점수 (가중 합산)</t>
  </si>
  <si>
    <t>{TOTAL_SCORE} / 100</t>
  </si>
  <si>
    <t>S1×0.25+S2×0.35+S3×0.25+S4×0.15</t>
  </si>
  <si>
    <t>역량 등급</t>
  </si>
  <si>
    <t>{GRADE} ({GRADE_NAME})</t>
  </si>
  <si>
    <t>L1~L7 중 해당 등급</t>
  </si>
  <si>
    <t>{RECOMMENDED_TRACK}</t>
  </si>
  <si>
    <t>기초 / 기초심화 / 심화</t>
  </si>
  <si>
    <t>■ 강점 (Top 3)</t>
  </si>
  <si>
    <t>강점 1</t>
  </si>
  <si>
    <t>{STRENGTH_1}</t>
  </si>
  <si>
    <t>가장 높은 하위 영역</t>
  </si>
  <si>
    <t>강점 2</t>
  </si>
  <si>
    <t>{STRENGTH_2}</t>
  </si>
  <si>
    <t>강점 3</t>
  </si>
  <si>
    <t>{STRENGTH_3}</t>
  </si>
  <si>
    <t>■ 보완점 (Bottom 3)</t>
  </si>
  <si>
    <t>보완점 1</t>
  </si>
  <si>
    <t>{WEAKNESS_1}</t>
  </si>
  <si>
    <t>가장 낮은 하위 영역 + 추천 학습 모듈</t>
  </si>
  <si>
    <t>보완점 2</t>
  </si>
  <si>
    <t>{WEAKNESS_2}</t>
  </si>
  <si>
    <t>보완점 3</t>
  </si>
  <si>
    <t>{WEAKNESS_3}</t>
  </si>
  <si>
    <t>■ 추천 학습 경로</t>
  </si>
  <si>
    <t>필수 모듈</t>
  </si>
  <si>
    <t>{REQUIRED_MODULES}</t>
  </si>
  <si>
    <t>추천 트랙의 모든 모듈</t>
  </si>
  <si>
    <t>보완 추천 모듈</t>
  </si>
  <si>
    <t>{RECOMMENDED_SUPPLEMENT}</t>
  </si>
  <si>
    <t>약점 보완용 선택 모듈</t>
  </si>
  <si>
    <t>심화 옵션</t>
  </si>
  <si>
    <t>{ADVANCED_OPTION}</t>
  </si>
  <si>
    <t>상위 등급 도전용</t>
  </si>
  <si>
    <t>■ 캡스톤 과제 (심화 추천자)</t>
  </si>
  <si>
    <t>추천 과제 1</t>
  </si>
  <si>
    <t>{CAPSTONE_1}</t>
  </si>
  <si>
    <t>S4-Q8 + S3-Q12 교차 분석</t>
  </si>
  <si>
    <t>추천 과제 2</t>
  </si>
  <si>
    <t>{CAPSTONE_2}</t>
  </si>
  <si>
    <t>추천 과제 3</t>
  </si>
  <si>
    <t>{CAPSTONE_3}</t>
  </si>
  <si>
    <t>■ 비고</t>
  </si>
  <si>
    <t>특이사항</t>
  </si>
  <si>
    <t>{NOTES}</t>
  </si>
  <si>
    <t>응시자 코멘트 / 강사 메모</t>
  </si>
  <si>
    <t>Post 측정 예정</t>
  </si>
  <si>
    <t>{POST_TEST_DATE}</t>
  </si>
  <si>
    <t>교육 종료 후 1주 내 재실시</t>
  </si>
  <si>
    <t>※ 본 템플릿은 자동화 스크립트(Python + Excel formula)로 생성됨. {PLACEHOLDER}는 실제 데이터로 치환.</t>
  </si>
  <si>
    <t>• 사번/이름 수집, 익명 통계 처리 명시
• 개별 결과는 본인 + 담당 강사 + PM만 조회
• 팀/부서 단위 집계만 공유 (3인 이하 마스킹)
• 데이터 보존: 교육 종료 후 12개월 후 파기</t>
    <phoneticPr fontId="6" type="noConversion"/>
  </si>
  <si>
    <t>• 설문 타당성 검토: Pilot 10명 대상 사전 테스트 (D-14)
• 문항 변별도 검증: 응시 후 상·하위 27% 그룹 비교
• 연도별 문항 갱신: 매년 AI 트렌드 변화 반영 (MCP, Agentic 등)</t>
    <phoneticPr fontId="6" type="noConversion"/>
  </si>
  <si>
    <t>AI 교육 사전 진단 설문 설계안 v2.0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</si>
</sst>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6"/>
      <color rgb="FFFFFFFF"/>
      <name val="Malgun Gothic"/>
      <family val="3"/>
      <charset val="129"/>
    </font>
    <font>
      <i/>
      <sz val="9"/>
      <color rgb="FF595959"/>
      <name val="Malgun Gothic"/>
      <family val="3"/>
      <charset val="129"/>
    </font>
    <font>
      <b/>
      <sz val="10"/>
      <color rgb="FF333333"/>
      <name val="Malgun Gothic"/>
      <family val="3"/>
      <charset val="129"/>
    </font>
    <font>
      <sz val="10"/>
      <color rgb="FF333333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/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/>
    <xf numFmtId="0" fontId="2" fillId="6" borderId="0" xfId="0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workbookViewId="0">
      <selection activeCell="B4" sqref="B4"/>
    </sheetView>
  </sheetViews>
  <sheetFormatPr defaultRowHeight="17.399999999999999"/>
  <cols>
    <col min="1" max="1" width="22" customWidth="1"/>
    <col min="2" max="2" width="80" customWidth="1"/>
  </cols>
  <sheetData>
    <row r="1" spans="1:2" ht="36" customHeight="1">
      <c r="A1" s="22" t="s">
        <v>538</v>
      </c>
      <c r="B1" s="20"/>
    </row>
    <row r="2" spans="1:2" ht="22.05" customHeight="1">
      <c r="A2" s="21" t="s">
        <v>0</v>
      </c>
      <c r="B2" s="20"/>
    </row>
    <row r="3" spans="1:2" ht="31.95" customHeight="1">
      <c r="A3" s="2" t="s">
        <v>1</v>
      </c>
      <c r="B3" s="3" t="s">
        <v>2</v>
      </c>
    </row>
    <row r="4" spans="1:2" ht="31.95" customHeight="1">
      <c r="A4" s="2" t="s">
        <v>3</v>
      </c>
      <c r="B4" s="3" t="s">
        <v>4</v>
      </c>
    </row>
    <row r="5" spans="1:2" ht="31.95" customHeight="1">
      <c r="A5" s="2" t="s">
        <v>5</v>
      </c>
      <c r="B5" s="3" t="s">
        <v>6</v>
      </c>
    </row>
    <row r="6" spans="1:2" ht="31.95" customHeight="1">
      <c r="A6" s="2" t="s">
        <v>7</v>
      </c>
      <c r="B6" s="3" t="s">
        <v>8</v>
      </c>
    </row>
    <row r="7" spans="1:2" ht="79.95" customHeight="1">
      <c r="A7" s="2" t="s">
        <v>9</v>
      </c>
      <c r="B7" s="3" t="s">
        <v>10</v>
      </c>
    </row>
    <row r="8" spans="1:2" ht="31.95" customHeight="1">
      <c r="A8" s="2" t="s">
        <v>11</v>
      </c>
      <c r="B8" s="3" t="s">
        <v>12</v>
      </c>
    </row>
    <row r="9" spans="1:2" ht="31.95" customHeight="1">
      <c r="A9" s="2" t="s">
        <v>13</v>
      </c>
      <c r="B9" s="3" t="s">
        <v>14</v>
      </c>
    </row>
    <row r="10" spans="1:2" ht="31.95" customHeight="1">
      <c r="A10" s="2" t="s">
        <v>15</v>
      </c>
      <c r="B10" s="3" t="s">
        <v>16</v>
      </c>
    </row>
    <row r="11" spans="1:2" ht="79.95" customHeight="1">
      <c r="A11" s="2" t="s">
        <v>17</v>
      </c>
      <c r="B11" s="3" t="s">
        <v>18</v>
      </c>
    </row>
    <row r="12" spans="1:2" ht="31.95" customHeight="1">
      <c r="A12" s="2" t="s">
        <v>19</v>
      </c>
      <c r="B12" s="3" t="s">
        <v>20</v>
      </c>
    </row>
    <row r="13" spans="1:2" ht="31.95" customHeight="1">
      <c r="A13" s="2" t="s">
        <v>21</v>
      </c>
      <c r="B13" s="3" t="s">
        <v>22</v>
      </c>
    </row>
    <row r="14" spans="1:2" ht="31.95" customHeight="1">
      <c r="A14" s="2" t="s">
        <v>23</v>
      </c>
      <c r="B14" s="3" t="s">
        <v>24</v>
      </c>
    </row>
    <row r="15" spans="1:2" ht="21" customHeight="1"/>
    <row r="16" spans="1:2" ht="21" customHeight="1">
      <c r="A16" s="19" t="s">
        <v>25</v>
      </c>
      <c r="B16" s="20"/>
    </row>
  </sheetData>
  <mergeCells count="3">
    <mergeCell ref="A16:B16"/>
    <mergeCell ref="A2:B2"/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selection sqref="A1:H1"/>
    </sheetView>
  </sheetViews>
  <sheetFormatPr defaultRowHeight="17.399999999999999"/>
  <cols>
    <col min="1" max="1" width="6" customWidth="1"/>
    <col min="2" max="2" width="22" customWidth="1"/>
    <col min="3" max="3" width="36" customWidth="1"/>
    <col min="4" max="4" width="22" customWidth="1"/>
    <col min="5" max="5" width="12" customWidth="1"/>
    <col min="6" max="6" width="10" customWidth="1"/>
    <col min="7" max="7" width="14" customWidth="1"/>
    <col min="8" max="8" width="24" customWidth="1"/>
  </cols>
  <sheetData>
    <row r="1" spans="1:8" ht="36" customHeight="1">
      <c r="A1" s="22" t="s">
        <v>26</v>
      </c>
      <c r="B1" s="20"/>
      <c r="C1" s="20"/>
      <c r="D1" s="20"/>
      <c r="E1" s="20"/>
      <c r="F1" s="20"/>
      <c r="G1" s="20"/>
      <c r="H1" s="20"/>
    </row>
    <row r="2" spans="1:8" ht="22.05" customHeight="1">
      <c r="A2" s="21" t="s">
        <v>27</v>
      </c>
      <c r="B2" s="20"/>
      <c r="C2" s="20"/>
      <c r="D2" s="20"/>
      <c r="E2" s="20"/>
      <c r="F2" s="20"/>
      <c r="G2" s="20"/>
      <c r="H2" s="20"/>
    </row>
    <row r="3" spans="1:8" ht="31.95" customHeight="1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</row>
    <row r="4" spans="1:8" ht="55.95" customHeight="1">
      <c r="A4" s="5" t="s">
        <v>36</v>
      </c>
      <c r="B4" s="3" t="s">
        <v>37</v>
      </c>
      <c r="C4" s="3" t="s">
        <v>38</v>
      </c>
      <c r="D4" s="3" t="s">
        <v>39</v>
      </c>
      <c r="E4" s="6">
        <v>15</v>
      </c>
      <c r="F4" s="6" t="s">
        <v>40</v>
      </c>
      <c r="G4" s="6" t="s">
        <v>41</v>
      </c>
      <c r="H4" s="3" t="s">
        <v>42</v>
      </c>
    </row>
    <row r="5" spans="1:8" ht="55.95" customHeight="1">
      <c r="A5" s="7" t="s">
        <v>43</v>
      </c>
      <c r="B5" s="8" t="s">
        <v>44</v>
      </c>
      <c r="C5" s="8" t="s">
        <v>45</v>
      </c>
      <c r="D5" s="8" t="s">
        <v>46</v>
      </c>
      <c r="E5" s="9">
        <v>20</v>
      </c>
      <c r="F5" s="9" t="s">
        <v>47</v>
      </c>
      <c r="G5" s="9" t="s">
        <v>48</v>
      </c>
      <c r="H5" s="8" t="s">
        <v>49</v>
      </c>
    </row>
    <row r="6" spans="1:8" ht="55.95" customHeight="1">
      <c r="A6" s="5" t="s">
        <v>50</v>
      </c>
      <c r="B6" s="3" t="s">
        <v>51</v>
      </c>
      <c r="C6" s="3" t="s">
        <v>52</v>
      </c>
      <c r="D6" s="3" t="s">
        <v>53</v>
      </c>
      <c r="E6" s="6">
        <v>12</v>
      </c>
      <c r="F6" s="6" t="s">
        <v>54</v>
      </c>
      <c r="G6" s="6" t="s">
        <v>55</v>
      </c>
      <c r="H6" s="3" t="s">
        <v>56</v>
      </c>
    </row>
    <row r="7" spans="1:8" ht="55.95" customHeight="1">
      <c r="A7" s="7" t="s">
        <v>57</v>
      </c>
      <c r="B7" s="8" t="s">
        <v>58</v>
      </c>
      <c r="C7" s="8" t="s">
        <v>59</v>
      </c>
      <c r="D7" s="8" t="s">
        <v>60</v>
      </c>
      <c r="E7" s="9">
        <v>8</v>
      </c>
      <c r="F7" s="9" t="s">
        <v>40</v>
      </c>
      <c r="G7" s="9" t="s">
        <v>61</v>
      </c>
      <c r="H7" s="8" t="s">
        <v>62</v>
      </c>
    </row>
    <row r="8" spans="1:8" ht="55.95" customHeight="1">
      <c r="A8" s="10" t="s">
        <v>63</v>
      </c>
      <c r="B8" s="11" t="s">
        <v>64</v>
      </c>
      <c r="C8" s="11" t="s">
        <v>65</v>
      </c>
      <c r="D8" s="11" t="s">
        <v>66</v>
      </c>
      <c r="E8" s="12">
        <v>55</v>
      </c>
      <c r="F8" s="12" t="s">
        <v>67</v>
      </c>
      <c r="G8" s="12" t="s">
        <v>68</v>
      </c>
      <c r="H8" s="11" t="s">
        <v>69</v>
      </c>
    </row>
    <row r="9" spans="1:8" ht="21" customHeight="1"/>
    <row r="10" spans="1:8" ht="21" customHeight="1">
      <c r="A10" s="24" t="s">
        <v>70</v>
      </c>
      <c r="B10" s="20"/>
      <c r="C10" s="20"/>
      <c r="D10" s="20"/>
      <c r="E10" s="20"/>
      <c r="F10" s="20"/>
      <c r="G10" s="20"/>
      <c r="H10" s="20"/>
    </row>
    <row r="11" spans="1:8" ht="22.05" customHeight="1">
      <c r="A11" s="23" t="s">
        <v>71</v>
      </c>
      <c r="B11" s="20"/>
      <c r="C11" s="20"/>
      <c r="D11" s="20"/>
      <c r="E11" s="20"/>
      <c r="F11" s="20"/>
      <c r="G11" s="20"/>
      <c r="H11" s="20"/>
    </row>
    <row r="12" spans="1:8" ht="22.05" customHeight="1">
      <c r="A12" s="23" t="s">
        <v>72</v>
      </c>
      <c r="B12" s="20"/>
      <c r="C12" s="20"/>
      <c r="D12" s="20"/>
      <c r="E12" s="20"/>
      <c r="F12" s="20"/>
      <c r="G12" s="20"/>
      <c r="H12" s="20"/>
    </row>
    <row r="13" spans="1:8" ht="22.05" customHeight="1">
      <c r="A13" s="23" t="s">
        <v>73</v>
      </c>
      <c r="B13" s="20"/>
      <c r="C13" s="20"/>
      <c r="D13" s="20"/>
      <c r="E13" s="20"/>
      <c r="F13" s="20"/>
      <c r="G13" s="20"/>
      <c r="H13" s="20"/>
    </row>
    <row r="14" spans="1:8" ht="22.05" customHeight="1">
      <c r="A14" s="23" t="s">
        <v>74</v>
      </c>
      <c r="B14" s="20"/>
      <c r="C14" s="20"/>
      <c r="D14" s="20"/>
      <c r="E14" s="20"/>
      <c r="F14" s="20"/>
      <c r="G14" s="20"/>
      <c r="H14" s="20"/>
    </row>
    <row r="15" spans="1:8" ht="22.05" customHeight="1">
      <c r="A15" s="23" t="s">
        <v>75</v>
      </c>
      <c r="B15" s="20"/>
      <c r="C15" s="20"/>
      <c r="D15" s="20"/>
      <c r="E15" s="20"/>
      <c r="F15" s="20"/>
      <c r="G15" s="20"/>
      <c r="H15" s="20"/>
    </row>
  </sheetData>
  <mergeCells count="8">
    <mergeCell ref="A1:H1"/>
    <mergeCell ref="A12:H12"/>
    <mergeCell ref="A15:H15"/>
    <mergeCell ref="A2:H2"/>
    <mergeCell ref="A10:H10"/>
    <mergeCell ref="A13:H13"/>
    <mergeCell ref="A11:H11"/>
    <mergeCell ref="A14:H14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topLeftCell="A9" workbookViewId="0">
      <selection sqref="A1:I1"/>
    </sheetView>
  </sheetViews>
  <sheetFormatPr defaultRowHeight="17.399999999999999"/>
  <cols>
    <col min="1" max="1" width="6" customWidth="1"/>
    <col min="2" max="2" width="14" customWidth="1"/>
    <col min="3" max="3" width="22" customWidth="1"/>
    <col min="4" max="4" width="28" customWidth="1"/>
    <col min="5" max="6" width="26" customWidth="1"/>
    <col min="7" max="7" width="30" customWidth="1"/>
    <col min="8" max="8" width="26" customWidth="1"/>
    <col min="9" max="9" width="22" customWidth="1"/>
  </cols>
  <sheetData>
    <row r="1" spans="1:9" ht="36" customHeight="1">
      <c r="A1" s="22" t="s">
        <v>76</v>
      </c>
      <c r="B1" s="20"/>
      <c r="C1" s="20"/>
      <c r="D1" s="20"/>
      <c r="E1" s="20"/>
      <c r="F1" s="20"/>
      <c r="G1" s="20"/>
      <c r="H1" s="20"/>
      <c r="I1" s="20"/>
    </row>
    <row r="2" spans="1:9" ht="22.05" customHeight="1">
      <c r="A2" s="21" t="s">
        <v>77</v>
      </c>
      <c r="B2" s="20"/>
      <c r="C2" s="20"/>
      <c r="D2" s="20"/>
      <c r="E2" s="20"/>
      <c r="F2" s="20"/>
      <c r="G2" s="20"/>
      <c r="H2" s="20"/>
      <c r="I2" s="20"/>
    </row>
    <row r="3" spans="1:9" ht="31.95" customHeight="1">
      <c r="A3" s="4" t="s">
        <v>78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83</v>
      </c>
      <c r="G3" s="4" t="s">
        <v>84</v>
      </c>
      <c r="H3" s="4" t="s">
        <v>85</v>
      </c>
      <c r="I3" s="4" t="s">
        <v>86</v>
      </c>
    </row>
    <row r="4" spans="1:9" ht="94.95" customHeight="1">
      <c r="A4" s="5" t="s">
        <v>87</v>
      </c>
      <c r="B4" s="6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6" t="s">
        <v>95</v>
      </c>
    </row>
    <row r="5" spans="1:9" ht="94.95" customHeight="1">
      <c r="A5" s="5" t="s">
        <v>96</v>
      </c>
      <c r="B5" s="6" t="s">
        <v>97</v>
      </c>
      <c r="C5" s="3" t="s">
        <v>98</v>
      </c>
      <c r="D5" s="3" t="s">
        <v>99</v>
      </c>
      <c r="E5" s="3" t="s">
        <v>100</v>
      </c>
      <c r="F5" s="3" t="s">
        <v>101</v>
      </c>
      <c r="G5" s="3" t="s">
        <v>102</v>
      </c>
      <c r="H5" s="3" t="s">
        <v>103</v>
      </c>
      <c r="I5" s="6" t="s">
        <v>95</v>
      </c>
    </row>
    <row r="6" spans="1:9" ht="94.95" customHeight="1">
      <c r="A6" s="5" t="s">
        <v>104</v>
      </c>
      <c r="B6" s="6" t="s">
        <v>105</v>
      </c>
      <c r="C6" s="3" t="s">
        <v>106</v>
      </c>
      <c r="D6" s="3" t="s">
        <v>107</v>
      </c>
      <c r="E6" s="3" t="s">
        <v>108</v>
      </c>
      <c r="F6" s="3" t="s">
        <v>109</v>
      </c>
      <c r="G6" s="3" t="s">
        <v>110</v>
      </c>
      <c r="H6" s="3" t="s">
        <v>111</v>
      </c>
      <c r="I6" s="6" t="s">
        <v>112</v>
      </c>
    </row>
    <row r="7" spans="1:9" ht="94.95" customHeight="1">
      <c r="A7" s="5" t="s">
        <v>113</v>
      </c>
      <c r="B7" s="6" t="s">
        <v>114</v>
      </c>
      <c r="C7" s="3" t="s">
        <v>115</v>
      </c>
      <c r="D7" s="3" t="s">
        <v>116</v>
      </c>
      <c r="E7" s="3" t="s">
        <v>117</v>
      </c>
      <c r="F7" s="3" t="s">
        <v>118</v>
      </c>
      <c r="G7" s="3" t="s">
        <v>119</v>
      </c>
      <c r="H7" s="3" t="s">
        <v>120</v>
      </c>
      <c r="I7" s="6" t="s">
        <v>121</v>
      </c>
    </row>
    <row r="8" spans="1:9" ht="94.95" customHeight="1">
      <c r="A8" s="5" t="s">
        <v>122</v>
      </c>
      <c r="B8" s="6" t="s">
        <v>123</v>
      </c>
      <c r="C8" s="3" t="s">
        <v>124</v>
      </c>
      <c r="D8" s="3" t="s">
        <v>125</v>
      </c>
      <c r="E8" s="3" t="s">
        <v>126</v>
      </c>
      <c r="F8" s="3" t="s">
        <v>127</v>
      </c>
      <c r="G8" s="3" t="s">
        <v>128</v>
      </c>
      <c r="H8" s="3" t="s">
        <v>129</v>
      </c>
      <c r="I8" s="6" t="s">
        <v>130</v>
      </c>
    </row>
    <row r="9" spans="1:9" ht="94.95" customHeight="1">
      <c r="A9" s="5" t="s">
        <v>131</v>
      </c>
      <c r="B9" s="6" t="s">
        <v>132</v>
      </c>
      <c r="C9" s="3" t="s">
        <v>133</v>
      </c>
      <c r="D9" s="3" t="s">
        <v>134</v>
      </c>
      <c r="E9" s="3" t="s">
        <v>135</v>
      </c>
      <c r="F9" s="3" t="s">
        <v>136</v>
      </c>
      <c r="G9" s="3" t="s">
        <v>137</v>
      </c>
      <c r="H9" s="3" t="s">
        <v>138</v>
      </c>
      <c r="I9" s="6" t="s">
        <v>130</v>
      </c>
    </row>
    <row r="10" spans="1:9" ht="94.95" customHeight="1">
      <c r="A10" s="5" t="s">
        <v>139</v>
      </c>
      <c r="B10" s="6" t="s">
        <v>140</v>
      </c>
      <c r="C10" s="3" t="s">
        <v>141</v>
      </c>
      <c r="D10" s="3" t="s">
        <v>142</v>
      </c>
      <c r="E10" s="3" t="s">
        <v>143</v>
      </c>
      <c r="F10" s="3" t="s">
        <v>144</v>
      </c>
      <c r="G10" s="3" t="s">
        <v>145</v>
      </c>
      <c r="H10" s="3" t="s">
        <v>146</v>
      </c>
      <c r="I10" s="6" t="s">
        <v>147</v>
      </c>
    </row>
    <row r="11" spans="1:9" ht="21" customHeight="1"/>
    <row r="12" spans="1:9" ht="21" customHeight="1">
      <c r="A12" s="24" t="s">
        <v>148</v>
      </c>
      <c r="B12" s="20"/>
      <c r="C12" s="20"/>
      <c r="D12" s="20"/>
      <c r="E12" s="20"/>
      <c r="F12" s="20"/>
      <c r="G12" s="20"/>
      <c r="H12" s="20"/>
      <c r="I12" s="20"/>
    </row>
    <row r="13" spans="1:9" ht="22.05" customHeight="1">
      <c r="A13" s="23" t="s">
        <v>149</v>
      </c>
      <c r="B13" s="20"/>
      <c r="C13" s="20"/>
      <c r="D13" s="20"/>
      <c r="E13" s="20"/>
      <c r="F13" s="20"/>
      <c r="G13" s="20"/>
      <c r="H13" s="20"/>
      <c r="I13" s="20"/>
    </row>
    <row r="14" spans="1:9" ht="22.05" customHeight="1">
      <c r="A14" s="23" t="s">
        <v>150</v>
      </c>
      <c r="B14" s="20"/>
      <c r="C14" s="20"/>
      <c r="D14" s="20"/>
      <c r="E14" s="20"/>
      <c r="F14" s="20"/>
      <c r="G14" s="20"/>
      <c r="H14" s="20"/>
      <c r="I14" s="20"/>
    </row>
    <row r="15" spans="1:9" ht="22.05" customHeight="1">
      <c r="A15" s="23" t="s">
        <v>151</v>
      </c>
      <c r="B15" s="20"/>
      <c r="C15" s="20"/>
      <c r="D15" s="20"/>
      <c r="E15" s="20"/>
      <c r="F15" s="20"/>
      <c r="G15" s="20"/>
      <c r="H15" s="20"/>
      <c r="I15" s="20"/>
    </row>
    <row r="16" spans="1:9" ht="22.05" customHeight="1">
      <c r="A16" s="23" t="s">
        <v>152</v>
      </c>
      <c r="B16" s="20"/>
      <c r="C16" s="20"/>
      <c r="D16" s="20"/>
      <c r="E16" s="20"/>
      <c r="F16" s="20"/>
      <c r="G16" s="20"/>
      <c r="H16" s="20"/>
      <c r="I16" s="20"/>
    </row>
    <row r="17" spans="1:9" ht="22.05" customHeight="1">
      <c r="A17" s="23" t="s">
        <v>153</v>
      </c>
      <c r="B17" s="20"/>
      <c r="C17" s="20"/>
      <c r="D17" s="20"/>
      <c r="E17" s="20"/>
      <c r="F17" s="20"/>
      <c r="G17" s="20"/>
      <c r="H17" s="20"/>
      <c r="I17" s="20"/>
    </row>
  </sheetData>
  <mergeCells count="8">
    <mergeCell ref="A17:I17"/>
    <mergeCell ref="A12:I12"/>
    <mergeCell ref="A16:I16"/>
    <mergeCell ref="A15:I15"/>
    <mergeCell ref="A2:I2"/>
    <mergeCell ref="A13:I13"/>
    <mergeCell ref="A14:I14"/>
    <mergeCell ref="A1:I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topLeftCell="A11" workbookViewId="0">
      <selection sqref="A1:F1"/>
    </sheetView>
  </sheetViews>
  <sheetFormatPr defaultRowHeight="17.399999999999999"/>
  <cols>
    <col min="1" max="1" width="6" customWidth="1"/>
    <col min="2" max="2" width="10" customWidth="1"/>
    <col min="3" max="3" width="50" customWidth="1"/>
    <col min="4" max="4" width="22" customWidth="1"/>
    <col min="5" max="6" width="14" customWidth="1"/>
  </cols>
  <sheetData>
    <row r="1" spans="1:6" ht="36" customHeight="1">
      <c r="A1" s="22" t="s">
        <v>154</v>
      </c>
      <c r="B1" s="20"/>
      <c r="C1" s="20"/>
      <c r="D1" s="20"/>
      <c r="E1" s="20"/>
      <c r="F1" s="20"/>
    </row>
    <row r="2" spans="1:6" ht="22.05" customHeight="1">
      <c r="A2" s="21" t="s">
        <v>155</v>
      </c>
      <c r="B2" s="20"/>
      <c r="C2" s="20"/>
      <c r="D2" s="20"/>
      <c r="E2" s="20"/>
      <c r="F2" s="20"/>
    </row>
    <row r="3" spans="1:6" ht="31.95" customHeight="1">
      <c r="A3" s="4" t="s">
        <v>28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</row>
    <row r="4" spans="1:6" ht="40.049999999999997" customHeight="1">
      <c r="A4" s="7" t="s">
        <v>161</v>
      </c>
      <c r="B4" s="9" t="s">
        <v>162</v>
      </c>
      <c r="C4" s="8" t="s">
        <v>163</v>
      </c>
      <c r="D4" s="9" t="s">
        <v>164</v>
      </c>
      <c r="E4" s="8" t="s">
        <v>165</v>
      </c>
      <c r="F4" s="9" t="s">
        <v>166</v>
      </c>
    </row>
    <row r="5" spans="1:6" ht="40.049999999999997" customHeight="1">
      <c r="A5" s="5" t="s">
        <v>167</v>
      </c>
      <c r="B5" s="6" t="s">
        <v>162</v>
      </c>
      <c r="C5" s="3" t="s">
        <v>168</v>
      </c>
      <c r="D5" s="6" t="s">
        <v>164</v>
      </c>
      <c r="E5" s="3" t="s">
        <v>169</v>
      </c>
      <c r="F5" s="6" t="s">
        <v>170</v>
      </c>
    </row>
    <row r="6" spans="1:6" ht="40.049999999999997" customHeight="1">
      <c r="A6" s="7" t="s">
        <v>171</v>
      </c>
      <c r="B6" s="9" t="s">
        <v>162</v>
      </c>
      <c r="C6" s="8" t="s">
        <v>172</v>
      </c>
      <c r="D6" s="9" t="s">
        <v>173</v>
      </c>
      <c r="E6" s="8" t="s">
        <v>169</v>
      </c>
      <c r="F6" s="9" t="s">
        <v>170</v>
      </c>
    </row>
    <row r="7" spans="1:6" ht="40.049999999999997" customHeight="1">
      <c r="A7" s="5" t="s">
        <v>174</v>
      </c>
      <c r="B7" s="6" t="s">
        <v>175</v>
      </c>
      <c r="C7" s="3" t="s">
        <v>176</v>
      </c>
      <c r="D7" s="6" t="s">
        <v>177</v>
      </c>
      <c r="E7" s="3" t="s">
        <v>178</v>
      </c>
      <c r="F7" s="6" t="s">
        <v>170</v>
      </c>
    </row>
    <row r="8" spans="1:6" ht="40.049999999999997" customHeight="1">
      <c r="A8" s="7" t="s">
        <v>179</v>
      </c>
      <c r="B8" s="9" t="s">
        <v>175</v>
      </c>
      <c r="C8" s="8" t="s">
        <v>180</v>
      </c>
      <c r="D8" s="9" t="s">
        <v>177</v>
      </c>
      <c r="E8" s="8" t="s">
        <v>169</v>
      </c>
      <c r="F8" s="9" t="s">
        <v>170</v>
      </c>
    </row>
    <row r="9" spans="1:6" ht="40.049999999999997" customHeight="1">
      <c r="A9" s="5" t="s">
        <v>181</v>
      </c>
      <c r="B9" s="6" t="s">
        <v>175</v>
      </c>
      <c r="C9" s="3" t="s">
        <v>182</v>
      </c>
      <c r="D9" s="6" t="s">
        <v>173</v>
      </c>
      <c r="E9" s="3" t="s">
        <v>169</v>
      </c>
      <c r="F9" s="6" t="s">
        <v>170</v>
      </c>
    </row>
    <row r="10" spans="1:6" ht="40.049999999999997" customHeight="1">
      <c r="A10" s="7" t="s">
        <v>183</v>
      </c>
      <c r="B10" s="9" t="s">
        <v>184</v>
      </c>
      <c r="C10" s="8" t="s">
        <v>185</v>
      </c>
      <c r="D10" s="9" t="s">
        <v>177</v>
      </c>
      <c r="E10" s="8" t="s">
        <v>169</v>
      </c>
      <c r="F10" s="9" t="s">
        <v>170</v>
      </c>
    </row>
    <row r="11" spans="1:6" ht="40.049999999999997" customHeight="1">
      <c r="A11" s="5" t="s">
        <v>186</v>
      </c>
      <c r="B11" s="6" t="s">
        <v>184</v>
      </c>
      <c r="C11" s="3" t="s">
        <v>187</v>
      </c>
      <c r="D11" s="6" t="s">
        <v>188</v>
      </c>
      <c r="E11" s="3" t="s">
        <v>169</v>
      </c>
      <c r="F11" s="6" t="s">
        <v>170</v>
      </c>
    </row>
    <row r="12" spans="1:6" ht="40.049999999999997" customHeight="1">
      <c r="A12" s="7" t="s">
        <v>189</v>
      </c>
      <c r="B12" s="9" t="s">
        <v>184</v>
      </c>
      <c r="C12" s="8" t="s">
        <v>190</v>
      </c>
      <c r="D12" s="9" t="s">
        <v>188</v>
      </c>
      <c r="E12" s="8" t="s">
        <v>169</v>
      </c>
      <c r="F12" s="9" t="s">
        <v>170</v>
      </c>
    </row>
    <row r="13" spans="1:6" ht="40.049999999999997" customHeight="1">
      <c r="A13" s="5" t="s">
        <v>191</v>
      </c>
      <c r="B13" s="6" t="s">
        <v>192</v>
      </c>
      <c r="C13" s="3" t="s">
        <v>193</v>
      </c>
      <c r="D13" s="6" t="s">
        <v>173</v>
      </c>
      <c r="E13" s="3" t="s">
        <v>169</v>
      </c>
      <c r="F13" s="6" t="s">
        <v>170</v>
      </c>
    </row>
    <row r="14" spans="1:6" ht="40.049999999999997" customHeight="1">
      <c r="A14" s="7" t="s">
        <v>194</v>
      </c>
      <c r="B14" s="9" t="s">
        <v>192</v>
      </c>
      <c r="C14" s="8" t="s">
        <v>195</v>
      </c>
      <c r="D14" s="9" t="s">
        <v>173</v>
      </c>
      <c r="E14" s="8" t="s">
        <v>169</v>
      </c>
      <c r="F14" s="9" t="s">
        <v>170</v>
      </c>
    </row>
    <row r="15" spans="1:6" ht="40.049999999999997" customHeight="1">
      <c r="A15" s="5" t="s">
        <v>196</v>
      </c>
      <c r="B15" s="6" t="s">
        <v>192</v>
      </c>
      <c r="C15" s="3" t="s">
        <v>197</v>
      </c>
      <c r="D15" s="6" t="s">
        <v>173</v>
      </c>
      <c r="E15" s="3" t="s">
        <v>169</v>
      </c>
      <c r="F15" s="6" t="s">
        <v>170</v>
      </c>
    </row>
    <row r="16" spans="1:6" ht="40.049999999999997" customHeight="1">
      <c r="A16" s="7" t="s">
        <v>198</v>
      </c>
      <c r="B16" s="9" t="s">
        <v>199</v>
      </c>
      <c r="C16" s="8" t="s">
        <v>200</v>
      </c>
      <c r="D16" s="9" t="s">
        <v>164</v>
      </c>
      <c r="E16" s="8" t="s">
        <v>201</v>
      </c>
      <c r="F16" s="9" t="s">
        <v>170</v>
      </c>
    </row>
    <row r="17" spans="1:6" ht="40.049999999999997" customHeight="1">
      <c r="A17" s="5" t="s">
        <v>202</v>
      </c>
      <c r="B17" s="6" t="s">
        <v>199</v>
      </c>
      <c r="C17" s="3" t="s">
        <v>203</v>
      </c>
      <c r="D17" s="6" t="s">
        <v>164</v>
      </c>
      <c r="E17" s="3" t="s">
        <v>169</v>
      </c>
      <c r="F17" s="6" t="s">
        <v>170</v>
      </c>
    </row>
    <row r="18" spans="1:6" ht="40.049999999999997" customHeight="1">
      <c r="A18" s="7" t="s">
        <v>204</v>
      </c>
      <c r="B18" s="9" t="s">
        <v>199</v>
      </c>
      <c r="C18" s="8" t="s">
        <v>205</v>
      </c>
      <c r="D18" s="9" t="s">
        <v>206</v>
      </c>
      <c r="E18" s="8" t="s">
        <v>169</v>
      </c>
      <c r="F18" s="9" t="s">
        <v>170</v>
      </c>
    </row>
    <row r="19" spans="1:6" ht="21" customHeight="1"/>
    <row r="20" spans="1:6" ht="22.05" customHeight="1">
      <c r="A20" s="25" t="s">
        <v>207</v>
      </c>
      <c r="B20" s="20"/>
      <c r="C20" s="20"/>
      <c r="D20" s="20"/>
      <c r="E20" s="20"/>
      <c r="F20" s="20"/>
    </row>
    <row r="21" spans="1:6" ht="24" customHeight="1">
      <c r="A21" s="23" t="s">
        <v>208</v>
      </c>
      <c r="B21" s="20"/>
      <c r="C21" s="20"/>
      <c r="D21" s="20"/>
      <c r="E21" s="20"/>
      <c r="F21" s="20"/>
    </row>
    <row r="22" spans="1:6" ht="24" customHeight="1">
      <c r="A22" s="23" t="s">
        <v>209</v>
      </c>
      <c r="B22" s="20"/>
      <c r="C22" s="20"/>
      <c r="D22" s="20"/>
      <c r="E22" s="20"/>
      <c r="F22" s="20"/>
    </row>
    <row r="23" spans="1:6" ht="24" customHeight="1">
      <c r="A23" s="23" t="s">
        <v>210</v>
      </c>
      <c r="B23" s="20"/>
      <c r="C23" s="20"/>
      <c r="D23" s="20"/>
      <c r="E23" s="20"/>
      <c r="F23" s="20"/>
    </row>
    <row r="24" spans="1:6" ht="24" customHeight="1">
      <c r="A24" s="23" t="s">
        <v>211</v>
      </c>
      <c r="B24" s="20"/>
      <c r="C24" s="20"/>
      <c r="D24" s="20"/>
      <c r="E24" s="20"/>
      <c r="F24" s="20"/>
    </row>
  </sheetData>
  <mergeCells count="7">
    <mergeCell ref="A24:F24"/>
    <mergeCell ref="A2:F2"/>
    <mergeCell ref="A1:F1"/>
    <mergeCell ref="A23:F23"/>
    <mergeCell ref="A22:F22"/>
    <mergeCell ref="A20:F20"/>
    <mergeCell ref="A21:F2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showGridLines="0" topLeftCell="A22" workbookViewId="0">
      <selection sqref="A1:F1"/>
    </sheetView>
  </sheetViews>
  <sheetFormatPr defaultRowHeight="17.399999999999999"/>
  <cols>
    <col min="1" max="1" width="6" customWidth="1"/>
    <col min="2" max="2" width="18" customWidth="1"/>
    <col min="3" max="3" width="46" customWidth="1"/>
    <col min="4" max="4" width="36" customWidth="1"/>
    <col min="5" max="5" width="14" customWidth="1"/>
    <col min="6" max="6" width="12" customWidth="1"/>
  </cols>
  <sheetData>
    <row r="1" spans="1:6" ht="36" customHeight="1">
      <c r="A1" s="22" t="s">
        <v>212</v>
      </c>
      <c r="B1" s="20"/>
      <c r="C1" s="20"/>
      <c r="D1" s="20"/>
      <c r="E1" s="20"/>
      <c r="F1" s="20"/>
    </row>
    <row r="2" spans="1:6" ht="22.05" customHeight="1">
      <c r="A2" s="21" t="s">
        <v>213</v>
      </c>
      <c r="B2" s="20"/>
      <c r="C2" s="20"/>
      <c r="D2" s="20"/>
      <c r="E2" s="20"/>
      <c r="F2" s="20"/>
    </row>
    <row r="3" spans="1:6" ht="31.95" customHeight="1">
      <c r="A3" s="4" t="s">
        <v>28</v>
      </c>
      <c r="B3" s="4" t="s">
        <v>214</v>
      </c>
      <c r="C3" s="4" t="s">
        <v>215</v>
      </c>
      <c r="D3" s="4" t="s">
        <v>216</v>
      </c>
      <c r="E3" s="4" t="s">
        <v>217</v>
      </c>
      <c r="F3" s="4" t="s">
        <v>218</v>
      </c>
    </row>
    <row r="4" spans="1:6" ht="55.95" customHeight="1">
      <c r="A4" s="7" t="s">
        <v>161</v>
      </c>
      <c r="B4" s="9" t="s">
        <v>219</v>
      </c>
      <c r="C4" s="8" t="s">
        <v>220</v>
      </c>
      <c r="D4" s="8" t="s">
        <v>221</v>
      </c>
      <c r="E4" s="9" t="s">
        <v>222</v>
      </c>
      <c r="F4" s="9">
        <v>5</v>
      </c>
    </row>
    <row r="5" spans="1:6" ht="55.95" customHeight="1">
      <c r="A5" s="5" t="s">
        <v>167</v>
      </c>
      <c r="B5" s="6" t="s">
        <v>219</v>
      </c>
      <c r="C5" s="3" t="s">
        <v>223</v>
      </c>
      <c r="D5" s="3" t="s">
        <v>224</v>
      </c>
      <c r="E5" s="6" t="s">
        <v>222</v>
      </c>
      <c r="F5" s="6">
        <v>5</v>
      </c>
    </row>
    <row r="6" spans="1:6" ht="55.95" customHeight="1">
      <c r="A6" s="7" t="s">
        <v>171</v>
      </c>
      <c r="B6" s="9" t="s">
        <v>219</v>
      </c>
      <c r="C6" s="8" t="s">
        <v>225</v>
      </c>
      <c r="D6" s="8" t="s">
        <v>226</v>
      </c>
      <c r="E6" s="9" t="s">
        <v>227</v>
      </c>
      <c r="F6" s="9">
        <v>5</v>
      </c>
    </row>
    <row r="7" spans="1:6" ht="55.95" customHeight="1">
      <c r="A7" s="5" t="s">
        <v>174</v>
      </c>
      <c r="B7" s="6" t="s">
        <v>228</v>
      </c>
      <c r="C7" s="3" t="s">
        <v>229</v>
      </c>
      <c r="D7" s="3" t="s">
        <v>230</v>
      </c>
      <c r="E7" s="6" t="s">
        <v>222</v>
      </c>
      <c r="F7" s="6">
        <v>5</v>
      </c>
    </row>
    <row r="8" spans="1:6" ht="55.95" customHeight="1">
      <c r="A8" s="7" t="s">
        <v>179</v>
      </c>
      <c r="B8" s="9" t="s">
        <v>228</v>
      </c>
      <c r="C8" s="8" t="s">
        <v>231</v>
      </c>
      <c r="D8" s="8" t="s">
        <v>232</v>
      </c>
      <c r="E8" s="9" t="s">
        <v>222</v>
      </c>
      <c r="F8" s="9">
        <v>5</v>
      </c>
    </row>
    <row r="9" spans="1:6" ht="55.95" customHeight="1">
      <c r="A9" s="5" t="s">
        <v>181</v>
      </c>
      <c r="B9" s="6" t="s">
        <v>228</v>
      </c>
      <c r="C9" s="3" t="s">
        <v>233</v>
      </c>
      <c r="D9" s="3" t="s">
        <v>234</v>
      </c>
      <c r="E9" s="6" t="s">
        <v>222</v>
      </c>
      <c r="F9" s="6">
        <v>5</v>
      </c>
    </row>
    <row r="10" spans="1:6" ht="55.95" customHeight="1">
      <c r="A10" s="7" t="s">
        <v>183</v>
      </c>
      <c r="B10" s="9" t="s">
        <v>235</v>
      </c>
      <c r="C10" s="8" t="s">
        <v>236</v>
      </c>
      <c r="D10" s="8" t="s">
        <v>237</v>
      </c>
      <c r="E10" s="9" t="s">
        <v>222</v>
      </c>
      <c r="F10" s="9">
        <v>5</v>
      </c>
    </row>
    <row r="11" spans="1:6" ht="55.95" customHeight="1">
      <c r="A11" s="5" t="s">
        <v>186</v>
      </c>
      <c r="B11" s="6" t="s">
        <v>235</v>
      </c>
      <c r="C11" s="3" t="s">
        <v>238</v>
      </c>
      <c r="D11" s="3" t="s">
        <v>239</v>
      </c>
      <c r="E11" s="6" t="s">
        <v>222</v>
      </c>
      <c r="F11" s="6">
        <v>5</v>
      </c>
    </row>
    <row r="12" spans="1:6" ht="55.95" customHeight="1">
      <c r="A12" s="7" t="s">
        <v>189</v>
      </c>
      <c r="B12" s="9" t="s">
        <v>235</v>
      </c>
      <c r="C12" s="8" t="s">
        <v>240</v>
      </c>
      <c r="D12" s="8" t="s">
        <v>241</v>
      </c>
      <c r="E12" s="9" t="s">
        <v>227</v>
      </c>
      <c r="F12" s="9">
        <v>5</v>
      </c>
    </row>
    <row r="13" spans="1:6" ht="55.95" customHeight="1">
      <c r="A13" s="5" t="s">
        <v>242</v>
      </c>
      <c r="B13" s="6" t="s">
        <v>235</v>
      </c>
      <c r="C13" s="3" t="s">
        <v>243</v>
      </c>
      <c r="D13" s="3" t="s">
        <v>244</v>
      </c>
      <c r="E13" s="6" t="s">
        <v>222</v>
      </c>
      <c r="F13" s="6">
        <v>5</v>
      </c>
    </row>
    <row r="14" spans="1:6" ht="55.95" customHeight="1">
      <c r="A14" s="7" t="s">
        <v>191</v>
      </c>
      <c r="B14" s="9" t="s">
        <v>245</v>
      </c>
      <c r="C14" s="8" t="s">
        <v>246</v>
      </c>
      <c r="D14" s="8" t="s">
        <v>247</v>
      </c>
      <c r="E14" s="9" t="s">
        <v>222</v>
      </c>
      <c r="F14" s="9">
        <v>5</v>
      </c>
    </row>
    <row r="15" spans="1:6" ht="55.95" customHeight="1">
      <c r="A15" s="5" t="s">
        <v>194</v>
      </c>
      <c r="B15" s="6" t="s">
        <v>245</v>
      </c>
      <c r="C15" s="3" t="s">
        <v>248</v>
      </c>
      <c r="D15" s="3" t="s">
        <v>249</v>
      </c>
      <c r="E15" s="6" t="s">
        <v>250</v>
      </c>
      <c r="F15" s="6">
        <v>5</v>
      </c>
    </row>
    <row r="16" spans="1:6" ht="55.95" customHeight="1">
      <c r="A16" s="7" t="s">
        <v>196</v>
      </c>
      <c r="B16" s="9" t="s">
        <v>245</v>
      </c>
      <c r="C16" s="8" t="s">
        <v>251</v>
      </c>
      <c r="D16" s="8" t="s">
        <v>252</v>
      </c>
      <c r="E16" s="9" t="s">
        <v>222</v>
      </c>
      <c r="F16" s="9">
        <v>5</v>
      </c>
    </row>
    <row r="17" spans="1:6" ht="55.95" customHeight="1">
      <c r="A17" s="5" t="s">
        <v>198</v>
      </c>
      <c r="B17" s="6" t="s">
        <v>253</v>
      </c>
      <c r="C17" s="3" t="s">
        <v>254</v>
      </c>
      <c r="D17" s="3" t="s">
        <v>255</v>
      </c>
      <c r="E17" s="6" t="s">
        <v>222</v>
      </c>
      <c r="F17" s="6">
        <v>5</v>
      </c>
    </row>
    <row r="18" spans="1:6" ht="55.95" customHeight="1">
      <c r="A18" s="7" t="s">
        <v>202</v>
      </c>
      <c r="B18" s="9" t="s">
        <v>253</v>
      </c>
      <c r="C18" s="8" t="s">
        <v>256</v>
      </c>
      <c r="D18" s="8" t="s">
        <v>257</v>
      </c>
      <c r="E18" s="9" t="s">
        <v>227</v>
      </c>
      <c r="F18" s="9">
        <v>5</v>
      </c>
    </row>
    <row r="19" spans="1:6" ht="55.95" customHeight="1">
      <c r="A19" s="5" t="s">
        <v>204</v>
      </c>
      <c r="B19" s="6" t="s">
        <v>253</v>
      </c>
      <c r="C19" s="3" t="s">
        <v>258</v>
      </c>
      <c r="D19" s="3" t="s">
        <v>259</v>
      </c>
      <c r="E19" s="6" t="s">
        <v>222</v>
      </c>
      <c r="F19" s="6">
        <v>5</v>
      </c>
    </row>
    <row r="20" spans="1:6" ht="55.95" customHeight="1">
      <c r="A20" s="7" t="s">
        <v>260</v>
      </c>
      <c r="B20" s="9" t="s">
        <v>253</v>
      </c>
      <c r="C20" s="8" t="s">
        <v>261</v>
      </c>
      <c r="D20" s="8" t="s">
        <v>262</v>
      </c>
      <c r="E20" s="9" t="s">
        <v>222</v>
      </c>
      <c r="F20" s="9">
        <v>5</v>
      </c>
    </row>
    <row r="21" spans="1:6" ht="55.95" customHeight="1">
      <c r="A21" s="5" t="s">
        <v>263</v>
      </c>
      <c r="B21" s="6" t="s">
        <v>264</v>
      </c>
      <c r="C21" s="3" t="s">
        <v>265</v>
      </c>
      <c r="D21" s="3" t="s">
        <v>266</v>
      </c>
      <c r="E21" s="6" t="s">
        <v>222</v>
      </c>
      <c r="F21" s="6">
        <v>5</v>
      </c>
    </row>
    <row r="22" spans="1:6" ht="55.95" customHeight="1">
      <c r="A22" s="7" t="s">
        <v>267</v>
      </c>
      <c r="B22" s="9" t="s">
        <v>264</v>
      </c>
      <c r="C22" s="8" t="s">
        <v>268</v>
      </c>
      <c r="D22" s="8" t="s">
        <v>269</v>
      </c>
      <c r="E22" s="9" t="s">
        <v>222</v>
      </c>
      <c r="F22" s="9">
        <v>5</v>
      </c>
    </row>
    <row r="23" spans="1:6" ht="55.95" customHeight="1">
      <c r="A23" s="5" t="s">
        <v>270</v>
      </c>
      <c r="B23" s="6" t="s">
        <v>264</v>
      </c>
      <c r="C23" s="3" t="s">
        <v>271</v>
      </c>
      <c r="D23" s="3" t="s">
        <v>272</v>
      </c>
      <c r="E23" s="6" t="s">
        <v>222</v>
      </c>
      <c r="F23" s="6">
        <v>5</v>
      </c>
    </row>
    <row r="24" spans="1:6" ht="21" customHeight="1"/>
    <row r="25" spans="1:6" ht="22.05" customHeight="1">
      <c r="A25" s="25" t="s">
        <v>273</v>
      </c>
      <c r="B25" s="20"/>
      <c r="C25" s="20"/>
      <c r="D25" s="20"/>
      <c r="E25" s="20"/>
      <c r="F25" s="20"/>
    </row>
    <row r="26" spans="1:6" ht="24" customHeight="1">
      <c r="A26" s="23" t="s">
        <v>274</v>
      </c>
      <c r="B26" s="20"/>
      <c r="C26" s="20"/>
      <c r="D26" s="20"/>
      <c r="E26" s="20"/>
      <c r="F26" s="20"/>
    </row>
    <row r="27" spans="1:6" ht="24" customHeight="1">
      <c r="A27" s="23" t="s">
        <v>275</v>
      </c>
      <c r="B27" s="20"/>
      <c r="C27" s="20"/>
      <c r="D27" s="20"/>
      <c r="E27" s="20"/>
      <c r="F27" s="20"/>
    </row>
    <row r="28" spans="1:6" ht="24" customHeight="1">
      <c r="A28" s="23" t="s">
        <v>276</v>
      </c>
      <c r="B28" s="20"/>
      <c r="C28" s="20"/>
      <c r="D28" s="20"/>
      <c r="E28" s="20"/>
      <c r="F28" s="20"/>
    </row>
    <row r="29" spans="1:6" ht="24" customHeight="1">
      <c r="A29" s="23" t="s">
        <v>277</v>
      </c>
      <c r="B29" s="20"/>
      <c r="C29" s="20"/>
      <c r="D29" s="20"/>
      <c r="E29" s="20"/>
      <c r="F29" s="20"/>
    </row>
  </sheetData>
  <mergeCells count="7">
    <mergeCell ref="A29:F29"/>
    <mergeCell ref="A25:F25"/>
    <mergeCell ref="A2:F2"/>
    <mergeCell ref="A28:F28"/>
    <mergeCell ref="A1:F1"/>
    <mergeCell ref="A27:F27"/>
    <mergeCell ref="A26:F26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topLeftCell="AC6" workbookViewId="0">
      <selection sqref="A1:F1"/>
    </sheetView>
  </sheetViews>
  <sheetFormatPr defaultRowHeight="17.399999999999999"/>
  <cols>
    <col min="1" max="1" width="6" customWidth="1"/>
    <col min="2" max="2" width="18" customWidth="1"/>
    <col min="3" max="3" width="22" customWidth="1"/>
    <col min="4" max="4" width="44" customWidth="1"/>
    <col min="5" max="5" width="26" customWidth="1"/>
    <col min="6" max="6" width="14" customWidth="1"/>
  </cols>
  <sheetData>
    <row r="1" spans="1:6" ht="36" customHeight="1">
      <c r="A1" s="22" t="s">
        <v>278</v>
      </c>
      <c r="B1" s="20"/>
      <c r="C1" s="20"/>
      <c r="D1" s="20"/>
      <c r="E1" s="20"/>
      <c r="F1" s="20"/>
    </row>
    <row r="2" spans="1:6" ht="22.05" customHeight="1">
      <c r="A2" s="21" t="s">
        <v>279</v>
      </c>
      <c r="B2" s="20"/>
      <c r="C2" s="20"/>
      <c r="D2" s="20"/>
      <c r="E2" s="20"/>
      <c r="F2" s="20"/>
    </row>
    <row r="3" spans="1:6" ht="31.95" customHeight="1">
      <c r="A3" s="4" t="s">
        <v>28</v>
      </c>
      <c r="B3" s="4" t="s">
        <v>280</v>
      </c>
      <c r="C3" s="4" t="s">
        <v>281</v>
      </c>
      <c r="D3" s="4" t="s">
        <v>215</v>
      </c>
      <c r="E3" s="4" t="s">
        <v>282</v>
      </c>
      <c r="F3" s="4" t="s">
        <v>218</v>
      </c>
    </row>
    <row r="4" spans="1:6" ht="64.95" customHeight="1">
      <c r="A4" s="7" t="s">
        <v>283</v>
      </c>
      <c r="B4" s="9" t="s">
        <v>284</v>
      </c>
      <c r="C4" s="8" t="s">
        <v>285</v>
      </c>
      <c r="D4" s="8" t="s">
        <v>286</v>
      </c>
      <c r="E4" s="8" t="s">
        <v>287</v>
      </c>
      <c r="F4" s="9">
        <v>5</v>
      </c>
    </row>
    <row r="5" spans="1:6" ht="64.95" customHeight="1">
      <c r="A5" s="5" t="s">
        <v>288</v>
      </c>
      <c r="B5" s="6" t="s">
        <v>284</v>
      </c>
      <c r="C5" s="3" t="s">
        <v>289</v>
      </c>
      <c r="D5" s="3" t="s">
        <v>290</v>
      </c>
      <c r="E5" s="3" t="s">
        <v>291</v>
      </c>
      <c r="F5" s="6">
        <v>5</v>
      </c>
    </row>
    <row r="6" spans="1:6" ht="64.95" customHeight="1">
      <c r="A6" s="7" t="s">
        <v>292</v>
      </c>
      <c r="B6" s="9" t="s">
        <v>284</v>
      </c>
      <c r="C6" s="8" t="s">
        <v>293</v>
      </c>
      <c r="D6" s="8" t="s">
        <v>294</v>
      </c>
      <c r="E6" s="8" t="s">
        <v>295</v>
      </c>
      <c r="F6" s="9">
        <v>5</v>
      </c>
    </row>
    <row r="7" spans="1:6" ht="64.95" customHeight="1">
      <c r="A7" s="5" t="s">
        <v>296</v>
      </c>
      <c r="B7" s="6" t="s">
        <v>284</v>
      </c>
      <c r="C7" s="3" t="s">
        <v>297</v>
      </c>
      <c r="D7" s="3" t="s">
        <v>298</v>
      </c>
      <c r="E7" s="3" t="s">
        <v>299</v>
      </c>
      <c r="F7" s="6">
        <v>5</v>
      </c>
    </row>
    <row r="8" spans="1:6" ht="64.95" customHeight="1">
      <c r="A8" s="7" t="s">
        <v>300</v>
      </c>
      <c r="B8" s="9" t="s">
        <v>284</v>
      </c>
      <c r="C8" s="8" t="s">
        <v>301</v>
      </c>
      <c r="D8" s="8" t="s">
        <v>302</v>
      </c>
      <c r="E8" s="8" t="s">
        <v>303</v>
      </c>
      <c r="F8" s="9">
        <v>5</v>
      </c>
    </row>
    <row r="9" spans="1:6" ht="64.95" customHeight="1">
      <c r="A9" s="5" t="s">
        <v>304</v>
      </c>
      <c r="B9" s="6" t="s">
        <v>284</v>
      </c>
      <c r="C9" s="3" t="s">
        <v>305</v>
      </c>
      <c r="D9" s="3" t="s">
        <v>306</v>
      </c>
      <c r="E9" s="3" t="s">
        <v>307</v>
      </c>
      <c r="F9" s="6">
        <v>5</v>
      </c>
    </row>
    <row r="10" spans="1:6" ht="64.95" customHeight="1">
      <c r="A10" s="7" t="s">
        <v>308</v>
      </c>
      <c r="B10" s="9" t="s">
        <v>309</v>
      </c>
      <c r="C10" s="8" t="s">
        <v>310</v>
      </c>
      <c r="D10" s="8" t="s">
        <v>311</v>
      </c>
      <c r="E10" s="8" t="s">
        <v>312</v>
      </c>
      <c r="F10" s="9">
        <v>5</v>
      </c>
    </row>
    <row r="11" spans="1:6" ht="64.95" customHeight="1">
      <c r="A11" s="5" t="s">
        <v>313</v>
      </c>
      <c r="B11" s="6" t="s">
        <v>309</v>
      </c>
      <c r="C11" s="3" t="s">
        <v>314</v>
      </c>
      <c r="D11" s="3" t="s">
        <v>315</v>
      </c>
      <c r="E11" s="3" t="s">
        <v>316</v>
      </c>
      <c r="F11" s="6">
        <v>5</v>
      </c>
    </row>
    <row r="12" spans="1:6" ht="64.95" customHeight="1">
      <c r="A12" s="7" t="s">
        <v>317</v>
      </c>
      <c r="B12" s="9" t="s">
        <v>309</v>
      </c>
      <c r="C12" s="8" t="s">
        <v>318</v>
      </c>
      <c r="D12" s="8" t="s">
        <v>319</v>
      </c>
      <c r="E12" s="8" t="s">
        <v>320</v>
      </c>
      <c r="F12" s="9">
        <v>5</v>
      </c>
    </row>
    <row r="13" spans="1:6" ht="64.95" customHeight="1">
      <c r="A13" s="5" t="s">
        <v>321</v>
      </c>
      <c r="B13" s="6" t="s">
        <v>309</v>
      </c>
      <c r="C13" s="3" t="s">
        <v>322</v>
      </c>
      <c r="D13" s="3" t="s">
        <v>323</v>
      </c>
      <c r="E13" s="3" t="s">
        <v>324</v>
      </c>
      <c r="F13" s="6">
        <v>5</v>
      </c>
    </row>
    <row r="14" spans="1:6" ht="64.95" customHeight="1">
      <c r="A14" s="7" t="s">
        <v>325</v>
      </c>
      <c r="B14" s="9" t="s">
        <v>309</v>
      </c>
      <c r="C14" s="8" t="s">
        <v>326</v>
      </c>
      <c r="D14" s="8" t="s">
        <v>327</v>
      </c>
      <c r="E14" s="8" t="s">
        <v>328</v>
      </c>
      <c r="F14" s="9">
        <v>5</v>
      </c>
    </row>
    <row r="15" spans="1:6" ht="64.95" customHeight="1">
      <c r="A15" s="5" t="s">
        <v>329</v>
      </c>
      <c r="B15" s="6" t="s">
        <v>309</v>
      </c>
      <c r="C15" s="3" t="s">
        <v>330</v>
      </c>
      <c r="D15" s="3" t="s">
        <v>331</v>
      </c>
      <c r="E15" s="3" t="s">
        <v>332</v>
      </c>
      <c r="F15" s="6">
        <v>5</v>
      </c>
    </row>
    <row r="16" spans="1:6" ht="21" customHeight="1"/>
    <row r="17" spans="1:6" ht="22.05" customHeight="1">
      <c r="A17" s="25" t="s">
        <v>333</v>
      </c>
      <c r="B17" s="20"/>
      <c r="C17" s="20"/>
      <c r="D17" s="20"/>
      <c r="E17" s="20"/>
      <c r="F17" s="20"/>
    </row>
    <row r="18" spans="1:6" ht="24" customHeight="1">
      <c r="A18" s="23" t="s">
        <v>334</v>
      </c>
      <c r="B18" s="20"/>
      <c r="C18" s="20"/>
      <c r="D18" s="20"/>
      <c r="E18" s="20"/>
      <c r="F18" s="20"/>
    </row>
    <row r="19" spans="1:6" ht="24" customHeight="1">
      <c r="A19" s="23" t="s">
        <v>335</v>
      </c>
      <c r="B19" s="20"/>
      <c r="C19" s="20"/>
      <c r="D19" s="20"/>
      <c r="E19" s="20"/>
      <c r="F19" s="20"/>
    </row>
    <row r="20" spans="1:6" ht="24" customHeight="1">
      <c r="A20" s="23" t="s">
        <v>336</v>
      </c>
      <c r="B20" s="20"/>
      <c r="C20" s="20"/>
      <c r="D20" s="20"/>
      <c r="E20" s="20"/>
      <c r="F20" s="20"/>
    </row>
    <row r="21" spans="1:6" ht="24" customHeight="1">
      <c r="A21" s="23" t="s">
        <v>337</v>
      </c>
      <c r="B21" s="20"/>
      <c r="C21" s="20"/>
      <c r="D21" s="20"/>
      <c r="E21" s="20"/>
      <c r="F21" s="20"/>
    </row>
    <row r="22" spans="1:6" ht="24" customHeight="1">
      <c r="A22" s="23" t="s">
        <v>338</v>
      </c>
      <c r="B22" s="20"/>
      <c r="C22" s="20"/>
      <c r="D22" s="20"/>
      <c r="E22" s="20"/>
      <c r="F22" s="20"/>
    </row>
  </sheetData>
  <mergeCells count="8">
    <mergeCell ref="A2:F2"/>
    <mergeCell ref="A19:F19"/>
    <mergeCell ref="A1:F1"/>
    <mergeCell ref="A22:F22"/>
    <mergeCell ref="A17:F17"/>
    <mergeCell ref="A18:F18"/>
    <mergeCell ref="A20:F20"/>
    <mergeCell ref="A21:F2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showGridLines="0" workbookViewId="0">
      <selection sqref="A1:E1"/>
    </sheetView>
  </sheetViews>
  <sheetFormatPr defaultRowHeight="17.399999999999999"/>
  <cols>
    <col min="1" max="1" width="6" customWidth="1"/>
    <col min="2" max="2" width="22" customWidth="1"/>
    <col min="3" max="3" width="44" customWidth="1"/>
    <col min="4" max="4" width="30" customWidth="1"/>
    <col min="5" max="5" width="16" customWidth="1"/>
  </cols>
  <sheetData>
    <row r="1" spans="1:5" ht="36" customHeight="1">
      <c r="A1" s="22" t="s">
        <v>339</v>
      </c>
      <c r="B1" s="20"/>
      <c r="C1" s="20"/>
      <c r="D1" s="20"/>
      <c r="E1" s="20"/>
    </row>
    <row r="2" spans="1:5" ht="22.05" customHeight="1">
      <c r="A2" s="21" t="s">
        <v>340</v>
      </c>
      <c r="B2" s="20"/>
      <c r="C2" s="20"/>
      <c r="D2" s="20"/>
      <c r="E2" s="20"/>
    </row>
    <row r="3" spans="1:5" ht="31.95" customHeight="1">
      <c r="A3" s="4" t="s">
        <v>28</v>
      </c>
      <c r="B3" s="4" t="s">
        <v>156</v>
      </c>
      <c r="C3" s="4" t="s">
        <v>215</v>
      </c>
      <c r="D3" s="4" t="s">
        <v>341</v>
      </c>
      <c r="E3" s="4" t="s">
        <v>342</v>
      </c>
    </row>
    <row r="4" spans="1:5" ht="55.95" customHeight="1">
      <c r="A4" s="7" t="s">
        <v>283</v>
      </c>
      <c r="B4" s="9" t="s">
        <v>343</v>
      </c>
      <c r="C4" s="8" t="s">
        <v>344</v>
      </c>
      <c r="D4" s="8" t="s">
        <v>345</v>
      </c>
      <c r="E4" s="8" t="s">
        <v>346</v>
      </c>
    </row>
    <row r="5" spans="1:5" ht="55.95" customHeight="1">
      <c r="A5" s="5" t="s">
        <v>288</v>
      </c>
      <c r="B5" s="6" t="s">
        <v>343</v>
      </c>
      <c r="C5" s="3" t="s">
        <v>347</v>
      </c>
      <c r="D5" s="3" t="s">
        <v>348</v>
      </c>
      <c r="E5" s="3" t="s">
        <v>349</v>
      </c>
    </row>
    <row r="6" spans="1:5" ht="55.95" customHeight="1">
      <c r="A6" s="7" t="s">
        <v>292</v>
      </c>
      <c r="B6" s="9" t="s">
        <v>350</v>
      </c>
      <c r="C6" s="8" t="s">
        <v>351</v>
      </c>
      <c r="D6" s="8" t="s">
        <v>352</v>
      </c>
      <c r="E6" s="8" t="s">
        <v>353</v>
      </c>
    </row>
    <row r="7" spans="1:5" ht="55.95" customHeight="1">
      <c r="A7" s="5" t="s">
        <v>296</v>
      </c>
      <c r="B7" s="6" t="s">
        <v>350</v>
      </c>
      <c r="C7" s="3" t="s">
        <v>354</v>
      </c>
      <c r="D7" s="3" t="s">
        <v>355</v>
      </c>
      <c r="E7" s="3" t="s">
        <v>356</v>
      </c>
    </row>
    <row r="8" spans="1:5" ht="55.95" customHeight="1">
      <c r="A8" s="7" t="s">
        <v>300</v>
      </c>
      <c r="B8" s="9" t="s">
        <v>357</v>
      </c>
      <c r="C8" s="8" t="s">
        <v>358</v>
      </c>
      <c r="D8" s="8" t="s">
        <v>359</v>
      </c>
      <c r="E8" s="8" t="s">
        <v>360</v>
      </c>
    </row>
    <row r="9" spans="1:5" ht="55.95" customHeight="1">
      <c r="A9" s="5" t="s">
        <v>304</v>
      </c>
      <c r="B9" s="6" t="s">
        <v>357</v>
      </c>
      <c r="C9" s="3" t="s">
        <v>361</v>
      </c>
      <c r="D9" s="3" t="s">
        <v>362</v>
      </c>
      <c r="E9" s="3" t="s">
        <v>363</v>
      </c>
    </row>
    <row r="10" spans="1:5" ht="55.95" customHeight="1">
      <c r="A10" s="7" t="s">
        <v>308</v>
      </c>
      <c r="B10" s="9" t="s">
        <v>364</v>
      </c>
      <c r="C10" s="8" t="s">
        <v>365</v>
      </c>
      <c r="D10" s="8" t="s">
        <v>366</v>
      </c>
      <c r="E10" s="8" t="s">
        <v>367</v>
      </c>
    </row>
    <row r="11" spans="1:5" ht="55.95" customHeight="1">
      <c r="A11" s="5" t="s">
        <v>313</v>
      </c>
      <c r="B11" s="6" t="s">
        <v>364</v>
      </c>
      <c r="C11" s="3" t="s">
        <v>368</v>
      </c>
      <c r="D11" s="3" t="s">
        <v>369</v>
      </c>
      <c r="E11" s="3" t="s">
        <v>370</v>
      </c>
    </row>
    <row r="12" spans="1:5" ht="21" customHeight="1"/>
    <row r="13" spans="1:5" ht="22.05" customHeight="1">
      <c r="A13" s="25" t="s">
        <v>371</v>
      </c>
      <c r="B13" s="20"/>
      <c r="C13" s="20"/>
      <c r="D13" s="20"/>
      <c r="E13" s="20"/>
    </row>
    <row r="14" spans="1:5" ht="24" customHeight="1">
      <c r="A14" s="23" t="s">
        <v>372</v>
      </c>
      <c r="B14" s="20"/>
      <c r="C14" s="20"/>
      <c r="D14" s="20"/>
      <c r="E14" s="20"/>
    </row>
    <row r="15" spans="1:5" ht="24" customHeight="1">
      <c r="A15" s="23" t="s">
        <v>373</v>
      </c>
      <c r="B15" s="20"/>
      <c r="C15" s="20"/>
      <c r="D15" s="20"/>
      <c r="E15" s="20"/>
    </row>
    <row r="16" spans="1:5" ht="24" customHeight="1">
      <c r="A16" s="23" t="s">
        <v>374</v>
      </c>
      <c r="B16" s="20"/>
      <c r="C16" s="20"/>
      <c r="D16" s="20"/>
      <c r="E16" s="20"/>
    </row>
    <row r="17" spans="1:5" ht="24" customHeight="1">
      <c r="A17" s="23" t="s">
        <v>375</v>
      </c>
      <c r="B17" s="20"/>
      <c r="C17" s="20"/>
      <c r="D17" s="20"/>
      <c r="E17" s="20"/>
    </row>
    <row r="18" spans="1:5" ht="24" customHeight="1">
      <c r="A18" s="23" t="s">
        <v>376</v>
      </c>
      <c r="B18" s="20"/>
      <c r="C18" s="20"/>
      <c r="D18" s="20"/>
      <c r="E18" s="20"/>
    </row>
  </sheetData>
  <mergeCells count="8">
    <mergeCell ref="A17:E17"/>
    <mergeCell ref="A18:E18"/>
    <mergeCell ref="A2:E2"/>
    <mergeCell ref="A16:E16"/>
    <mergeCell ref="A15:E15"/>
    <mergeCell ref="A1:E1"/>
    <mergeCell ref="A13:E13"/>
    <mergeCell ref="A14:E14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showGridLines="0" topLeftCell="A8" workbookViewId="0">
      <selection activeCell="B12" sqref="B12"/>
    </sheetView>
  </sheetViews>
  <sheetFormatPr defaultRowHeight="17.399999999999999"/>
  <cols>
    <col min="1" max="1" width="22" customWidth="1"/>
    <col min="2" max="2" width="75" customWidth="1"/>
  </cols>
  <sheetData>
    <row r="1" spans="1:2" ht="36" customHeight="1">
      <c r="A1" s="22" t="s">
        <v>377</v>
      </c>
      <c r="B1" s="20"/>
    </row>
    <row r="2" spans="1:2" ht="22.05" customHeight="1">
      <c r="A2" s="21" t="s">
        <v>378</v>
      </c>
      <c r="B2" s="20"/>
    </row>
    <row r="3" spans="1:2" ht="60" customHeight="1">
      <c r="A3" s="2" t="s">
        <v>379</v>
      </c>
      <c r="B3" s="3" t="s">
        <v>380</v>
      </c>
    </row>
    <row r="4" spans="1:2" ht="60" customHeight="1">
      <c r="A4" s="2" t="s">
        <v>381</v>
      </c>
      <c r="B4" s="3" t="s">
        <v>382</v>
      </c>
    </row>
    <row r="5" spans="1:2" ht="60" customHeight="1">
      <c r="A5" s="2" t="s">
        <v>383</v>
      </c>
      <c r="B5" s="3" t="s">
        <v>384</v>
      </c>
    </row>
    <row r="6" spans="1:2" ht="90" customHeight="1">
      <c r="A6" s="2" t="s">
        <v>385</v>
      </c>
      <c r="B6" s="3" t="s">
        <v>386</v>
      </c>
    </row>
    <row r="7" spans="1:2" ht="105" customHeight="1">
      <c r="A7" s="2" t="s">
        <v>387</v>
      </c>
      <c r="B7" s="3" t="s">
        <v>388</v>
      </c>
    </row>
    <row r="8" spans="1:2" ht="45" customHeight="1">
      <c r="A8" s="2" t="s">
        <v>389</v>
      </c>
      <c r="B8" s="3" t="s">
        <v>390</v>
      </c>
    </row>
    <row r="9" spans="1:2" ht="75" customHeight="1">
      <c r="A9" s="2" t="s">
        <v>391</v>
      </c>
      <c r="B9" s="3" t="s">
        <v>392</v>
      </c>
    </row>
    <row r="10" spans="1:2" ht="75" customHeight="1">
      <c r="A10" s="2" t="s">
        <v>393</v>
      </c>
      <c r="B10" s="3" t="s">
        <v>394</v>
      </c>
    </row>
    <row r="11" spans="1:2" ht="75" customHeight="1">
      <c r="A11" s="2" t="s">
        <v>395</v>
      </c>
      <c r="B11" s="3" t="s">
        <v>536</v>
      </c>
    </row>
    <row r="12" spans="1:2" ht="60" customHeight="1">
      <c r="A12" s="2" t="s">
        <v>396</v>
      </c>
      <c r="B12" s="3" t="s">
        <v>537</v>
      </c>
    </row>
  </sheetData>
  <mergeCells count="2">
    <mergeCell ref="A2:B2"/>
    <mergeCell ref="A1:B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showGridLines="0" topLeftCell="A21" workbookViewId="0">
      <selection sqref="A1:J1"/>
    </sheetView>
  </sheetViews>
  <sheetFormatPr defaultRowHeight="17.399999999999999"/>
  <cols>
    <col min="1" max="1" width="10" customWidth="1"/>
    <col min="2" max="2" width="18" customWidth="1"/>
    <col min="3" max="3" width="16" customWidth="1"/>
    <col min="4" max="10" width="14" customWidth="1"/>
  </cols>
  <sheetData>
    <row r="1" spans="1:10" ht="36" customHeight="1">
      <c r="A1" s="22" t="s">
        <v>397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2.05" customHeight="1">
      <c r="A2" s="21" t="s">
        <v>398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31.95" customHeight="1">
      <c r="A3" s="4" t="s">
        <v>399</v>
      </c>
      <c r="B3" s="4" t="s">
        <v>400</v>
      </c>
      <c r="C3" s="4" t="s">
        <v>401</v>
      </c>
      <c r="D3" s="4" t="s">
        <v>402</v>
      </c>
      <c r="E3" s="4" t="s">
        <v>403</v>
      </c>
      <c r="F3" s="4" t="s">
        <v>404</v>
      </c>
      <c r="G3" s="4" t="s">
        <v>405</v>
      </c>
      <c r="H3" s="4" t="s">
        <v>406</v>
      </c>
      <c r="I3" s="4" t="s">
        <v>407</v>
      </c>
      <c r="J3" s="4" t="s">
        <v>408</v>
      </c>
    </row>
    <row r="4" spans="1:10" ht="22.05" customHeight="1">
      <c r="A4" s="13" t="s">
        <v>409</v>
      </c>
      <c r="B4" s="27" t="s">
        <v>410</v>
      </c>
      <c r="C4" s="20"/>
      <c r="D4" s="20"/>
      <c r="E4" s="20"/>
      <c r="F4" s="20"/>
      <c r="G4" s="20"/>
      <c r="H4" s="20"/>
      <c r="I4" s="20"/>
      <c r="J4" s="20"/>
    </row>
    <row r="5" spans="1:10" ht="24" customHeight="1">
      <c r="A5" s="1" t="s">
        <v>411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22.05" customHeight="1">
      <c r="A6" s="6" t="s">
        <v>412</v>
      </c>
      <c r="B6" s="6" t="s">
        <v>413</v>
      </c>
      <c r="C6" s="6">
        <v>35</v>
      </c>
      <c r="D6" s="6">
        <v>45</v>
      </c>
      <c r="E6" s="6">
        <v>15</v>
      </c>
      <c r="F6" s="6">
        <v>10</v>
      </c>
      <c r="G6" s="6">
        <v>50</v>
      </c>
      <c r="H6" s="6">
        <f>ROUND(C6/75*100,1)</f>
        <v>46.7</v>
      </c>
      <c r="I6" s="6">
        <f>ROUND(D6,1)</f>
        <v>45</v>
      </c>
      <c r="J6" s="6">
        <f>ROUND((E6+F6)/60*100,1)</f>
        <v>41.7</v>
      </c>
    </row>
    <row r="7" spans="1:10" ht="22.05" customHeight="1">
      <c r="A7" s="6" t="s">
        <v>414</v>
      </c>
      <c r="B7" s="6" t="s">
        <v>415</v>
      </c>
      <c r="C7" s="6">
        <v>55</v>
      </c>
      <c r="D7" s="6">
        <v>70</v>
      </c>
      <c r="E7" s="6">
        <v>22</v>
      </c>
      <c r="F7" s="6">
        <v>18</v>
      </c>
      <c r="G7" s="6">
        <v>70</v>
      </c>
      <c r="H7" s="6">
        <f>ROUND(C7/75*100,1)</f>
        <v>73.3</v>
      </c>
      <c r="I7" s="6">
        <f>ROUND(D7,1)</f>
        <v>70</v>
      </c>
      <c r="J7" s="6">
        <f>ROUND((E7+F7)/60*100,1)</f>
        <v>66.7</v>
      </c>
    </row>
    <row r="8" spans="1:10" ht="22.05" customHeight="1">
      <c r="A8" s="6" t="s">
        <v>416</v>
      </c>
      <c r="B8" s="6" t="s">
        <v>417</v>
      </c>
      <c r="C8" s="6">
        <v>70</v>
      </c>
      <c r="D8" s="6">
        <v>90</v>
      </c>
      <c r="E8" s="6">
        <v>28</v>
      </c>
      <c r="F8" s="6">
        <v>27</v>
      </c>
      <c r="G8" s="6">
        <v>90</v>
      </c>
      <c r="H8" s="6">
        <f>ROUND(C8/75*100,1)</f>
        <v>93.3</v>
      </c>
      <c r="I8" s="6">
        <f>ROUND(D8,1)</f>
        <v>90</v>
      </c>
      <c r="J8" s="6">
        <f>ROUND((E8+F8)/60*100,1)</f>
        <v>91.7</v>
      </c>
    </row>
    <row r="9" spans="1:10" ht="22.05" customHeight="1">
      <c r="A9" s="6" t="s">
        <v>418</v>
      </c>
      <c r="B9" s="6" t="s">
        <v>419</v>
      </c>
      <c r="C9" s="6">
        <v>20</v>
      </c>
      <c r="D9" s="6">
        <v>25</v>
      </c>
      <c r="E9" s="6">
        <v>8</v>
      </c>
      <c r="F9" s="6">
        <v>5</v>
      </c>
      <c r="G9" s="6">
        <v>30</v>
      </c>
      <c r="H9" s="6">
        <f>ROUND(C9/75*100,1)</f>
        <v>26.7</v>
      </c>
      <c r="I9" s="6">
        <f>ROUND(D9,1)</f>
        <v>25</v>
      </c>
      <c r="J9" s="6">
        <f>ROUND((E9+F9)/60*100,1)</f>
        <v>21.7</v>
      </c>
    </row>
    <row r="10" spans="1:10" ht="22.05" customHeight="1">
      <c r="A10" s="6" t="s">
        <v>420</v>
      </c>
      <c r="B10" s="6" t="s">
        <v>421</v>
      </c>
      <c r="C10" s="6">
        <v>60</v>
      </c>
      <c r="D10" s="6">
        <v>80</v>
      </c>
      <c r="E10" s="6">
        <v>25</v>
      </c>
      <c r="F10" s="6">
        <v>22</v>
      </c>
      <c r="G10" s="6">
        <v>75</v>
      </c>
      <c r="H10" s="6">
        <f>ROUND(C10/75*100,1)</f>
        <v>80</v>
      </c>
      <c r="I10" s="6">
        <f>ROUND(D10,1)</f>
        <v>80</v>
      </c>
      <c r="J10" s="6">
        <f>ROUND((E10+F10)/60*100,1)</f>
        <v>78.3</v>
      </c>
    </row>
    <row r="11" spans="1:10" ht="21" customHeight="1"/>
    <row r="12" spans="1:10" ht="22.05" customHeight="1">
      <c r="A12" s="26" t="s">
        <v>422</v>
      </c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24" customHeight="1">
      <c r="A13" s="23" t="s">
        <v>423</v>
      </c>
      <c r="B13" s="20"/>
      <c r="C13" s="20"/>
      <c r="D13" s="20"/>
      <c r="E13" s="20"/>
      <c r="F13" s="20"/>
      <c r="G13" s="20"/>
      <c r="H13" s="20"/>
      <c r="I13" s="20"/>
      <c r="J13" s="20"/>
    </row>
    <row r="14" spans="1:10" ht="24" customHeight="1">
      <c r="A14" s="23" t="s">
        <v>424</v>
      </c>
      <c r="B14" s="20"/>
      <c r="C14" s="20"/>
      <c r="D14" s="20"/>
      <c r="E14" s="20"/>
      <c r="F14" s="20"/>
      <c r="G14" s="20"/>
      <c r="H14" s="20"/>
      <c r="I14" s="20"/>
      <c r="J14" s="20"/>
    </row>
    <row r="15" spans="1:10" ht="24" customHeight="1">
      <c r="A15" s="23" t="s">
        <v>425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0" ht="24" customHeight="1">
      <c r="A16" s="23" t="s">
        <v>426</v>
      </c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24" customHeight="1">
      <c r="A17" s="23" t="s">
        <v>427</v>
      </c>
      <c r="B17" s="20"/>
      <c r="C17" s="20"/>
      <c r="D17" s="20"/>
      <c r="E17" s="20"/>
      <c r="F17" s="20"/>
      <c r="G17" s="20"/>
      <c r="H17" s="20"/>
      <c r="I17" s="20"/>
      <c r="J17" s="20"/>
    </row>
    <row r="18" spans="1:10" ht="24" customHeight="1">
      <c r="A18" s="23" t="s">
        <v>428</v>
      </c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24" customHeight="1">
      <c r="A19" s="23" t="s">
        <v>429</v>
      </c>
      <c r="B19" s="20"/>
      <c r="C19" s="20"/>
      <c r="D19" s="20"/>
      <c r="E19" s="20"/>
      <c r="F19" s="20"/>
      <c r="G19" s="20"/>
      <c r="H19" s="20"/>
      <c r="I19" s="20"/>
      <c r="J19" s="20"/>
    </row>
    <row r="20" spans="1:10" ht="21" customHeight="1"/>
    <row r="21" spans="1:10" ht="21" customHeight="1"/>
    <row r="22" spans="1:10" ht="22.05" customHeight="1">
      <c r="A22" s="25" t="s">
        <v>430</v>
      </c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31.95" customHeight="1">
      <c r="A23" s="4" t="s">
        <v>431</v>
      </c>
      <c r="B23" s="4" t="s">
        <v>432</v>
      </c>
      <c r="C23" s="4" t="s">
        <v>433</v>
      </c>
      <c r="D23" s="4" t="s">
        <v>86</v>
      </c>
      <c r="E23" s="4" t="s">
        <v>434</v>
      </c>
      <c r="F23" s="4" t="s">
        <v>435</v>
      </c>
      <c r="G23" s="4"/>
      <c r="H23" s="4"/>
      <c r="I23" s="4"/>
      <c r="J23" s="4"/>
    </row>
    <row r="24" spans="1:10" ht="28.05" customHeight="1">
      <c r="A24" s="5" t="s">
        <v>87</v>
      </c>
      <c r="B24" s="15" t="s">
        <v>88</v>
      </c>
      <c r="C24" s="6" t="s">
        <v>436</v>
      </c>
      <c r="D24" s="15" t="s">
        <v>95</v>
      </c>
      <c r="E24" s="3" t="s">
        <v>437</v>
      </c>
      <c r="F24" s="3" t="s">
        <v>438</v>
      </c>
    </row>
    <row r="25" spans="1:10" ht="28.05" customHeight="1">
      <c r="A25" s="7" t="s">
        <v>96</v>
      </c>
      <c r="B25" s="16" t="s">
        <v>97</v>
      </c>
      <c r="C25" s="9" t="s">
        <v>439</v>
      </c>
      <c r="D25" s="16" t="s">
        <v>95</v>
      </c>
      <c r="E25" s="8" t="s">
        <v>440</v>
      </c>
      <c r="F25" s="8" t="s">
        <v>441</v>
      </c>
    </row>
    <row r="26" spans="1:10" ht="28.05" customHeight="1">
      <c r="A26" s="5" t="s">
        <v>104</v>
      </c>
      <c r="B26" s="15" t="s">
        <v>105</v>
      </c>
      <c r="C26" s="6" t="s">
        <v>442</v>
      </c>
      <c r="D26" s="15" t="s">
        <v>112</v>
      </c>
      <c r="E26" s="3" t="s">
        <v>443</v>
      </c>
      <c r="F26" s="3" t="s">
        <v>444</v>
      </c>
    </row>
    <row r="27" spans="1:10" ht="28.05" customHeight="1">
      <c r="A27" s="7" t="s">
        <v>113</v>
      </c>
      <c r="B27" s="16" t="s">
        <v>114</v>
      </c>
      <c r="C27" s="9" t="s">
        <v>445</v>
      </c>
      <c r="D27" s="16" t="s">
        <v>121</v>
      </c>
      <c r="E27" s="8" t="s">
        <v>446</v>
      </c>
      <c r="F27" s="8" t="s">
        <v>447</v>
      </c>
    </row>
    <row r="28" spans="1:10" ht="28.05" customHeight="1">
      <c r="A28" s="5" t="s">
        <v>122</v>
      </c>
      <c r="B28" s="15" t="s">
        <v>123</v>
      </c>
      <c r="C28" s="6" t="s">
        <v>448</v>
      </c>
      <c r="D28" s="15" t="s">
        <v>130</v>
      </c>
      <c r="E28" s="3" t="s">
        <v>449</v>
      </c>
      <c r="F28" s="3" t="s">
        <v>450</v>
      </c>
    </row>
    <row r="29" spans="1:10" ht="28.05" customHeight="1">
      <c r="A29" s="7" t="s">
        <v>131</v>
      </c>
      <c r="B29" s="16" t="s">
        <v>132</v>
      </c>
      <c r="C29" s="9" t="s">
        <v>451</v>
      </c>
      <c r="D29" s="16" t="s">
        <v>130</v>
      </c>
      <c r="E29" s="8" t="s">
        <v>452</v>
      </c>
      <c r="F29" s="8" t="s">
        <v>453</v>
      </c>
    </row>
    <row r="30" spans="1:10" ht="28.05" customHeight="1">
      <c r="A30" s="5" t="s">
        <v>139</v>
      </c>
      <c r="B30" s="15" t="s">
        <v>140</v>
      </c>
      <c r="C30" s="6" t="s">
        <v>454</v>
      </c>
      <c r="D30" s="15" t="s">
        <v>147</v>
      </c>
      <c r="E30" s="3" t="s">
        <v>455</v>
      </c>
      <c r="F30" s="3" t="s">
        <v>456</v>
      </c>
    </row>
  </sheetData>
  <mergeCells count="12">
    <mergeCell ref="A1:J1"/>
    <mergeCell ref="A14:J14"/>
    <mergeCell ref="A22:J22"/>
    <mergeCell ref="A17:J17"/>
    <mergeCell ref="A18:J18"/>
    <mergeCell ref="A16:J16"/>
    <mergeCell ref="A12:J12"/>
    <mergeCell ref="A15:J15"/>
    <mergeCell ref="A19:J19"/>
    <mergeCell ref="B4:J4"/>
    <mergeCell ref="A2:J2"/>
    <mergeCell ref="A13:J13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4"/>
  <sheetViews>
    <sheetView showGridLines="0" topLeftCell="A36" workbookViewId="0">
      <selection sqref="A1:C1"/>
    </sheetView>
  </sheetViews>
  <sheetFormatPr defaultRowHeight="17.399999999999999"/>
  <cols>
    <col min="1" max="1" width="22" customWidth="1"/>
    <col min="2" max="2" width="50" customWidth="1"/>
    <col min="3" max="3" width="22" customWidth="1"/>
  </cols>
  <sheetData>
    <row r="1" spans="1:3" ht="36" customHeight="1">
      <c r="A1" s="22" t="s">
        <v>457</v>
      </c>
      <c r="B1" s="20"/>
      <c r="C1" s="20"/>
    </row>
    <row r="2" spans="1:3" ht="22.05" customHeight="1">
      <c r="A2" s="21" t="s">
        <v>458</v>
      </c>
      <c r="B2" s="20"/>
      <c r="C2" s="20"/>
    </row>
    <row r="3" spans="1:3" ht="25.95" customHeight="1">
      <c r="A3" s="28" t="s">
        <v>459</v>
      </c>
      <c r="B3" s="29"/>
      <c r="C3" s="30"/>
    </row>
    <row r="4" spans="1:3" ht="22.05" customHeight="1">
      <c r="A4" s="17" t="s">
        <v>460</v>
      </c>
      <c r="B4" s="3" t="s">
        <v>461</v>
      </c>
      <c r="C4" s="18" t="s">
        <v>462</v>
      </c>
    </row>
    <row r="5" spans="1:3" ht="22.05" customHeight="1">
      <c r="A5" s="17" t="s">
        <v>463</v>
      </c>
      <c r="B5" s="3" t="s">
        <v>464</v>
      </c>
      <c r="C5" s="18" t="s">
        <v>465</v>
      </c>
    </row>
    <row r="6" spans="1:3" ht="22.05" customHeight="1">
      <c r="A6" s="17" t="s">
        <v>466</v>
      </c>
      <c r="B6" s="3" t="s">
        <v>467</v>
      </c>
      <c r="C6" s="18" t="s">
        <v>468</v>
      </c>
    </row>
    <row r="7" spans="1:3" ht="22.05" customHeight="1">
      <c r="A7" s="17" t="s">
        <v>469</v>
      </c>
      <c r="B7" s="3" t="s">
        <v>470</v>
      </c>
      <c r="C7" s="18" t="s">
        <v>471</v>
      </c>
    </row>
    <row r="8" spans="1:3" ht="22.05" customHeight="1">
      <c r="A8" s="17"/>
      <c r="B8" s="3"/>
      <c r="C8" s="18"/>
    </row>
    <row r="9" spans="1:3" ht="25.95" customHeight="1">
      <c r="A9" s="28" t="s">
        <v>472</v>
      </c>
      <c r="B9" s="29"/>
      <c r="C9" s="30"/>
    </row>
    <row r="10" spans="1:3" ht="22.05" customHeight="1">
      <c r="A10" s="17" t="s">
        <v>473</v>
      </c>
      <c r="B10" s="3" t="s">
        <v>474</v>
      </c>
      <c r="C10" s="18" t="s">
        <v>475</v>
      </c>
    </row>
    <row r="11" spans="1:3" ht="22.05" customHeight="1">
      <c r="A11" s="17" t="s">
        <v>476</v>
      </c>
      <c r="B11" s="3" t="s">
        <v>477</v>
      </c>
      <c r="C11" s="18" t="s">
        <v>478</v>
      </c>
    </row>
    <row r="12" spans="1:3" ht="22.05" customHeight="1">
      <c r="A12" s="17" t="s">
        <v>479</v>
      </c>
      <c r="B12" s="3" t="s">
        <v>480</v>
      </c>
      <c r="C12" s="18" t="s">
        <v>481</v>
      </c>
    </row>
    <row r="13" spans="1:3" ht="22.05" customHeight="1">
      <c r="A13" s="17" t="s">
        <v>482</v>
      </c>
      <c r="B13" s="3" t="s">
        <v>483</v>
      </c>
      <c r="C13" s="18" t="s">
        <v>484</v>
      </c>
    </row>
    <row r="14" spans="1:3" ht="22.05" customHeight="1">
      <c r="A14" s="17"/>
      <c r="B14" s="3"/>
      <c r="C14" s="18"/>
    </row>
    <row r="15" spans="1:3" ht="25.95" customHeight="1">
      <c r="A15" s="28" t="s">
        <v>485</v>
      </c>
      <c r="B15" s="29"/>
      <c r="C15" s="30"/>
    </row>
    <row r="16" spans="1:3" ht="22.05" customHeight="1">
      <c r="A16" s="17" t="s">
        <v>486</v>
      </c>
      <c r="B16" s="3" t="s">
        <v>487</v>
      </c>
      <c r="C16" s="18" t="s">
        <v>488</v>
      </c>
    </row>
    <row r="17" spans="1:3" ht="22.05" customHeight="1">
      <c r="A17" s="17" t="s">
        <v>489</v>
      </c>
      <c r="B17" s="3" t="s">
        <v>490</v>
      </c>
      <c r="C17" s="18" t="s">
        <v>491</v>
      </c>
    </row>
    <row r="18" spans="1:3" ht="22.05" customHeight="1">
      <c r="A18" s="17" t="s">
        <v>86</v>
      </c>
      <c r="B18" s="3" t="s">
        <v>492</v>
      </c>
      <c r="C18" s="18" t="s">
        <v>493</v>
      </c>
    </row>
    <row r="19" spans="1:3" ht="22.05" customHeight="1">
      <c r="A19" s="17"/>
      <c r="B19" s="3"/>
      <c r="C19" s="18"/>
    </row>
    <row r="20" spans="1:3" ht="25.95" customHeight="1">
      <c r="A20" s="28" t="s">
        <v>494</v>
      </c>
      <c r="B20" s="29"/>
      <c r="C20" s="30"/>
    </row>
    <row r="21" spans="1:3" ht="22.05" customHeight="1">
      <c r="A21" s="17" t="s">
        <v>495</v>
      </c>
      <c r="B21" s="3" t="s">
        <v>496</v>
      </c>
      <c r="C21" s="18" t="s">
        <v>497</v>
      </c>
    </row>
    <row r="22" spans="1:3" ht="22.05" customHeight="1">
      <c r="A22" s="17" t="s">
        <v>498</v>
      </c>
      <c r="B22" s="3" t="s">
        <v>499</v>
      </c>
      <c r="C22" s="18"/>
    </row>
    <row r="23" spans="1:3" ht="22.05" customHeight="1">
      <c r="A23" s="17" t="s">
        <v>500</v>
      </c>
      <c r="B23" s="3" t="s">
        <v>501</v>
      </c>
      <c r="C23" s="18"/>
    </row>
    <row r="24" spans="1:3" ht="22.05" customHeight="1">
      <c r="A24" s="17"/>
      <c r="B24" s="3"/>
      <c r="C24" s="18"/>
    </row>
    <row r="25" spans="1:3" ht="25.95" customHeight="1">
      <c r="A25" s="28" t="s">
        <v>502</v>
      </c>
      <c r="B25" s="29"/>
      <c r="C25" s="30"/>
    </row>
    <row r="26" spans="1:3" ht="22.05" customHeight="1">
      <c r="A26" s="17" t="s">
        <v>503</v>
      </c>
      <c r="B26" s="3" t="s">
        <v>504</v>
      </c>
      <c r="C26" s="18" t="s">
        <v>505</v>
      </c>
    </row>
    <row r="27" spans="1:3" ht="22.05" customHeight="1">
      <c r="A27" s="17" t="s">
        <v>506</v>
      </c>
      <c r="B27" s="3" t="s">
        <v>507</v>
      </c>
      <c r="C27" s="18"/>
    </row>
    <row r="28" spans="1:3" ht="22.05" customHeight="1">
      <c r="A28" s="17" t="s">
        <v>508</v>
      </c>
      <c r="B28" s="3" t="s">
        <v>509</v>
      </c>
      <c r="C28" s="18"/>
    </row>
    <row r="29" spans="1:3" ht="22.05" customHeight="1">
      <c r="A29" s="17"/>
      <c r="B29" s="3"/>
      <c r="C29" s="18"/>
    </row>
    <row r="30" spans="1:3" ht="25.95" customHeight="1">
      <c r="A30" s="28" t="s">
        <v>510</v>
      </c>
      <c r="B30" s="29"/>
      <c r="C30" s="30"/>
    </row>
    <row r="31" spans="1:3" ht="22.05" customHeight="1">
      <c r="A31" s="17" t="s">
        <v>511</v>
      </c>
      <c r="B31" s="3" t="s">
        <v>512</v>
      </c>
      <c r="C31" s="18" t="s">
        <v>513</v>
      </c>
    </row>
    <row r="32" spans="1:3" ht="22.05" customHeight="1">
      <c r="A32" s="17" t="s">
        <v>514</v>
      </c>
      <c r="B32" s="3" t="s">
        <v>515</v>
      </c>
      <c r="C32" s="18" t="s">
        <v>516</v>
      </c>
    </row>
    <row r="33" spans="1:3" ht="22.05" customHeight="1">
      <c r="A33" s="17" t="s">
        <v>517</v>
      </c>
      <c r="B33" s="3" t="s">
        <v>518</v>
      </c>
      <c r="C33" s="18" t="s">
        <v>519</v>
      </c>
    </row>
    <row r="34" spans="1:3" ht="22.05" customHeight="1">
      <c r="A34" s="17"/>
      <c r="B34" s="3"/>
      <c r="C34" s="18"/>
    </row>
    <row r="35" spans="1:3" ht="25.95" customHeight="1">
      <c r="A35" s="28" t="s">
        <v>520</v>
      </c>
      <c r="B35" s="29"/>
      <c r="C35" s="30"/>
    </row>
    <row r="36" spans="1:3" ht="22.05" customHeight="1">
      <c r="A36" s="17" t="s">
        <v>521</v>
      </c>
      <c r="B36" s="3" t="s">
        <v>522</v>
      </c>
      <c r="C36" s="18" t="s">
        <v>523</v>
      </c>
    </row>
    <row r="37" spans="1:3" ht="22.05" customHeight="1">
      <c r="A37" s="17" t="s">
        <v>524</v>
      </c>
      <c r="B37" s="3" t="s">
        <v>525</v>
      </c>
      <c r="C37" s="18"/>
    </row>
    <row r="38" spans="1:3" ht="22.05" customHeight="1">
      <c r="A38" s="17" t="s">
        <v>526</v>
      </c>
      <c r="B38" s="3" t="s">
        <v>527</v>
      </c>
      <c r="C38" s="18"/>
    </row>
    <row r="39" spans="1:3" ht="22.05" customHeight="1">
      <c r="A39" s="17"/>
      <c r="B39" s="3"/>
      <c r="C39" s="18"/>
    </row>
    <row r="40" spans="1:3" ht="25.95" customHeight="1">
      <c r="A40" s="28" t="s">
        <v>528</v>
      </c>
      <c r="B40" s="29"/>
      <c r="C40" s="30"/>
    </row>
    <row r="41" spans="1:3" ht="22.05" customHeight="1">
      <c r="A41" s="17" t="s">
        <v>529</v>
      </c>
      <c r="B41" s="3" t="s">
        <v>530</v>
      </c>
      <c r="C41" s="18" t="s">
        <v>531</v>
      </c>
    </row>
    <row r="42" spans="1:3" ht="22.05" customHeight="1">
      <c r="A42" s="17" t="s">
        <v>532</v>
      </c>
      <c r="B42" s="3" t="s">
        <v>533</v>
      </c>
      <c r="C42" s="18" t="s">
        <v>534</v>
      </c>
    </row>
    <row r="43" spans="1:3" ht="21" customHeight="1"/>
    <row r="44" spans="1:3" ht="21" customHeight="1">
      <c r="A44" s="19" t="s">
        <v>535</v>
      </c>
      <c r="B44" s="20"/>
      <c r="C44" s="20"/>
    </row>
  </sheetData>
  <mergeCells count="11">
    <mergeCell ref="A25:C25"/>
    <mergeCell ref="A44:C44"/>
    <mergeCell ref="A1:C1"/>
    <mergeCell ref="A40:C40"/>
    <mergeCell ref="A9:C9"/>
    <mergeCell ref="A3:C3"/>
    <mergeCell ref="A30:C30"/>
    <mergeCell ref="A35:C35"/>
    <mergeCell ref="A20:C20"/>
    <mergeCell ref="A2:C2"/>
    <mergeCell ref="A15:C15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00_표지</vt:lpstr>
      <vt:lpstr>01_4섹션_구조</vt:lpstr>
      <vt:lpstr>02_7단계_루브릭</vt:lpstr>
      <vt:lpstr>03_S1_AI활용_성숙도</vt:lpstr>
      <vt:lpstr>04_S2_AI_리터러시</vt:lpstr>
      <vt:lpstr>05_S3_커리큘럼_매핑</vt:lpstr>
      <vt:lpstr>06_S4_현업_과제</vt:lpstr>
      <vt:lpstr>07_진단_계획</vt:lpstr>
      <vt:lpstr>08_등급_산출</vt:lpstr>
      <vt:lpstr>09_역량_프로파일_템플릿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2026-06-30T04:36:07Z</dcterms:created>
  <dcterms:modified xsi:type="dcterms:W3CDTF">2026-07-15T06:00:26Z</dcterms:modified>
</cp:coreProperties>
</file>