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삼성전자MX_구미_9월\"/>
    </mc:Choice>
  </mc:AlternateContent>
  <xr:revisionPtr revIDLastSave="0" documentId="13_ncr:1_{8B42D5A5-30B6-4DD3-B229-42031F8A1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설문 문항" sheetId="1" r:id="rId1"/>
    <sheet name="이해도 척도" sheetId="2" r:id="rId2"/>
    <sheet name="응답 집계 양식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E44" i="3"/>
  <c r="E43" i="3"/>
  <c r="E42" i="3"/>
  <c r="E41" i="3"/>
  <c r="O38" i="3"/>
  <c r="N38" i="3"/>
  <c r="M38" i="3"/>
  <c r="L38" i="3"/>
  <c r="K38" i="3"/>
  <c r="J38" i="3"/>
  <c r="I38" i="3"/>
  <c r="A38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E21" i="1"/>
  <c r="D21" i="1"/>
  <c r="B21" i="1"/>
</calcChain>
</file>

<file path=xl/sharedStrings.xml><?xml version="1.0" encoding="utf-8"?>
<sst xmlns="http://schemas.openxmlformats.org/spreadsheetml/2006/main" count="191" uniqueCount="143">
  <si>
    <t>에이전틱 AI 실무 교육 — 교육생 사전 설문 문항</t>
  </si>
  <si>
    <t>삼성전자 MX사업부 구미사업장 AX조직 · 5일 집중 34H · 응답 소요 10분 내외 · 총 15문항(자유서술 3문항)</t>
  </si>
  <si>
    <t>섹션</t>
  </si>
  <si>
    <t>No</t>
  </si>
  <si>
    <t>문항</t>
  </si>
  <si>
    <t>유형</t>
  </si>
  <si>
    <t>필수</t>
  </si>
  <si>
    <t>선택지 / 척도</t>
  </si>
  <si>
    <t>활용 목적</t>
  </si>
  <si>
    <t>1. 기본 정보</t>
  </si>
  <si>
    <t>성함과 소속 팀을 입력해 주세요.</t>
  </si>
  <si>
    <t>단답</t>
  </si>
  <si>
    <t>자유 입력 (예: 홍길동 / 금형기술팀)</t>
  </si>
  <si>
    <t>조 편성 · 명단 대조</t>
  </si>
  <si>
    <t>담당 업무를 가장 잘 나타내는 항목을 선택해 주세요.</t>
  </si>
  <si>
    <t>객관식</t>
  </si>
  <si>
    <t>금형·기구 개발 / 설비·공정 기술 / 품질·신뢰성 / 생산·제조 관리 / 개발 지원·기획·관리 / AX 과제 기획·추진 전담 / 기타</t>
  </si>
  <si>
    <t>실습 사례를 직군에 맞게 선정</t>
  </si>
  <si>
    <t>현재 담당 업무 경력은 어느 정도인가요?</t>
  </si>
  <si>
    <t>3년 미만 / 3~7년 / 7~15년 / 15년 이상</t>
  </si>
  <si>
    <t>조별 경력 균형 배치</t>
  </si>
  <si>
    <t>2. AI 도구 사용 경험</t>
  </si>
  <si>
    <t>생성형 AI 챗봇을 얼마나 자주 사용하시나요?</t>
  </si>
  <si>
    <t>사용해 본 적 없음 / 몇 번 써 본 정도 / 월 1~2회 / 주 1~2회 / 거의 매일</t>
  </si>
  <si>
    <t>Day1 눈높이 결정</t>
  </si>
  <si>
    <t>사용해 본 적 있는 도구를 모두 선택해 주세요.</t>
  </si>
  <si>
    <t>복수선택</t>
  </si>
  <si>
    <t>ChatGPT / Claude / Gemini / NotebookLM / GitHub Copilot / Claude Code·OpenAI Codex 등 코딩 에이전트 / MCP 서버 연결 경험 / 사내 제공 AI 도구 / 없음 / 기타</t>
  </si>
  <si>
    <t>Day2~3 실습 시작 지점 조정</t>
  </si>
  <si>
    <t>AI를 실제 담당 업무에 적용해 본 경험이 있으신가요?</t>
  </si>
  <si>
    <t>없음 / 문서 작성·번역·요약 / 자료 조사·분석 보조 / 반복 업무 일부 자동화 / 프로세스에 상시 적용</t>
  </si>
  <si>
    <t>Day5 워크숍 과제 난이도 설정</t>
  </si>
  <si>
    <t>프로그래밍 또는 스크립트 작성 경험은 어느 정도인가요?</t>
  </si>
  <si>
    <t>전혀 없음 / 엑셀 수식·매크로 / 남의 코드 수정 / 직접 작성 가능 / 실무 상시 개발</t>
  </si>
  <si>
    <t>바이브코딩 실습 조 편성</t>
  </si>
  <si>
    <t>3. 핵심 개념 이해도</t>
  </si>
  <si>
    <t>6개 핵심 개념에 대한 현재 이해 수준을 선택해 주세요. (그리드 1문항)</t>
  </si>
  <si>
    <t>객관식 그리드</t>
  </si>
  <si>
    <t>행: Agentic AI / RAG / 지식그래프 / 하네스·컨텍스트 엔지니어링 / MCP / 멀티 에이전트·HITL
열: ①처음 들어봄 ②설명은 어려움 ③설명 가능 ④사용해 봄 ⑤업무 적용 중</t>
  </si>
  <si>
    <t>일자별 도입부 분량 조정 (직접 반영)</t>
  </si>
  <si>
    <t>4. 실습 환경 점검</t>
  </si>
  <si>
    <t>교육 중 사용할 실습 PC는 어떤 것인가요?</t>
  </si>
  <si>
    <t>회사 노트북(관리자 권한 있음) / 회사 노트북(권한 없음) / 개인 노트북 / 교육장 제공 PC / 확인 필요</t>
  </si>
  <si>
    <t>Day1 환경 세팅 시간 산정</t>
  </si>
  <si>
    <t>해당 PC에 개발 도구를 새로 설치할 수 있나요?</t>
  </si>
  <si>
    <t>자유롭게 설치 가능 / 승인 절차 거치면 가능 / 설치 불가 / 확인 필요</t>
  </si>
  <si>
    <t>사전 설치 가이드 배포 대상 선별</t>
  </si>
  <si>
    <t>해당 PC에서 사외망 접속이 가능한가요?</t>
  </si>
  <si>
    <t>가능 / 별도 사외망 환경에서만 가능 / 불가 / 확인 필요</t>
  </si>
  <si>
    <t>교육장·회선 사전 협의 근거</t>
  </si>
  <si>
    <t>5. 교육 니즈</t>
  </si>
  <si>
    <t>가장 기대하는 학습 테마를 최대 2개까지 선택해 주세요.</t>
  </si>
  <si>
    <t>복수선택(최대 2)</t>
  </si>
  <si>
    <t>Agentic AI 기초 / 지식 자산화 / 하네스·컨텍스트 엔지니어링 / MCP / 멀티 에이전트·HITL / 종합 워크숍</t>
  </si>
  <si>
    <t>일자별 실습 시간 미세 조정</t>
  </si>
  <si>
    <t>담당 업무 중 AI로 자동화하고 싶은 일이 있다면 적어 주세요.</t>
  </si>
  <si>
    <t>자유서술</t>
  </si>
  <si>
    <t>장문 입력</t>
  </si>
  <si>
    <t>Day5 워크숍 과제 풀 구성</t>
  </si>
  <si>
    <t>교육 참여에 앞서 걱정되거나 우려되는 점이 있다면 적어 주세요.</t>
  </si>
  <si>
    <t>선택</t>
  </si>
  <si>
    <t>강사 사전 브리핑 · 진도 리스크 파악</t>
  </si>
  <si>
    <t>강사에게 미리 전달하고 싶은 질문이 있다면 적어 주세요.</t>
  </si>
  <si>
    <t>Day1 오프닝 Q&amp;A 소재</t>
  </si>
  <si>
    <t>합계</t>
  </si>
  <si>
    <t>문항 (자유서술 문항 수 →)</t>
  </si>
  <si>
    <t>← 필수 문항 수</t>
  </si>
  <si>
    <t>설계 기준 · 응답 소요 10분 내외를 위해 총 문항 20개 이하, 자유서술 3개 이하로 제한했습니다. 6개 핵심 개념의 이해도는 그리드 1문항으로 묶어 응답 부담을 줄였습니다.</t>
  </si>
  <si>
    <t>핵심 개념 이해도 척도 정의</t>
  </si>
  <si>
    <t>문항 8번(그리드)의 행·열 정의와, 응답 결과를 커리큘럼에 반영하는 기준</t>
  </si>
  <si>
    <t>단계</t>
  </si>
  <si>
    <t>척도 문구</t>
  </si>
  <si>
    <t>판단 기준</t>
  </si>
  <si>
    <t>해당 응답이 많을 때의 대응</t>
  </si>
  <si>
    <t>① 처음 들어봄</t>
  </si>
  <si>
    <t>용어 자체를 접한 적 없음</t>
  </si>
  <si>
    <t>해당 개념 도입부에 배경 설명 10~15분 추가, 비유 중심 전달</t>
  </si>
  <si>
    <t>② 들어봤지만 설명은 어려움</t>
  </si>
  <si>
    <t>용어는 익숙하나 정의를 말하기 어려움</t>
  </si>
  <si>
    <t>개념 정리 후 바로 시연으로 넘어가 체감 우선</t>
  </si>
  <si>
    <t>③ 개념을 설명할 수 있음</t>
  </si>
  <si>
    <t>동료에게 설명 가능한 수준</t>
  </si>
  <si>
    <t>표준 진행. 이론 시간 단축하고 실습 시간 확대</t>
  </si>
  <si>
    <t>④ 직접 사용해 본 적 있음</t>
  </si>
  <si>
    <t>개인적으로 써 본 경험 있음</t>
  </si>
  <si>
    <t>심화 옵션 과제 제공, 조별 리더 역할 배치</t>
  </si>
  <si>
    <t>⑤ 업무에 적용하고 있음</t>
  </si>
  <si>
    <t>실무에 상시 적용 중</t>
  </si>
  <si>
    <t>멘토 역할 부여, Day5 워크숍에서 난이도 높은 과제 배정</t>
  </si>
  <si>
    <t>측정 대상 6개 개념 (그리드 행)</t>
  </si>
  <si>
    <t>#</t>
  </si>
  <si>
    <t>개념</t>
  </si>
  <si>
    <t>대응 커리큘럼</t>
  </si>
  <si>
    <t>측정 이유</t>
  </si>
  <si>
    <t>Agentic AI</t>
  </si>
  <si>
    <t>Day 1 · TRACK 01 전체</t>
  </si>
  <si>
    <t>과정 전체의 전제 개념. 이해도가 낮을 경우 Day 1 도입부 설명 비중을 확대합니다.</t>
  </si>
  <si>
    <t>RAG (검색증강생성)</t>
  </si>
  <si>
    <t>Day 2 · MODULE 01 (3H)</t>
  </si>
  <si>
    <t>사전 수준에 따라 도입부 설명 분량과 실습 시작 지점을 조정합니다.</t>
  </si>
  <si>
    <t>지식그래프 / 지식 자산화</t>
  </si>
  <si>
    <t>RAG와의 비교 학습 구간. 두 개념 모두 낮을 경우 비교 실습 시간을 확대합니다.</t>
  </si>
  <si>
    <t>하네스 · 컨텍스트 엔지니어링</t>
  </si>
  <si>
    <t>Day 2 · MODULE 02~03 (5H)</t>
  </si>
  <si>
    <t>본 과정의 핵심 테마. 이해도 분포에 따라 Day 2 실습 난이도를 조정합니다.</t>
  </si>
  <si>
    <t>MCP (Model Context Protocol)</t>
  </si>
  <si>
    <t>Day 3 · TRACK 03 전체 (8H)</t>
  </si>
  <si>
    <t>기술 난도가 가장 높은 구간. 이해도가 낮을 경우 도구 제작 실습의 범위를 조정합니다.</t>
  </si>
  <si>
    <t>멀티 에이전트 · HITL</t>
  </si>
  <si>
    <t>Day 4 · TRACK 04 전체 (8H)</t>
  </si>
  <si>
    <t>A2A 이론 비중과 실습 비중의 배분을 결정합니다.</t>
  </si>
  <si>
    <t>응답 집계 양식 (30명 기준)</t>
  </si>
  <si>
    <t>파란 글씨 칸에 응답을 입력하면 하단 요약이 자동 계산됩니다. 검정 글씨는 수식이므로 수정하지 마세요.</t>
  </si>
  <si>
    <t>성함</t>
  </si>
  <si>
    <t>소속 팀</t>
  </si>
  <si>
    <t>담당 업무</t>
  </si>
  <si>
    <t>경력</t>
  </si>
  <si>
    <t>AI 사용 빈도</t>
  </si>
  <si>
    <t>업무 적용 경험</t>
  </si>
  <si>
    <t>프로그래밍 경험</t>
  </si>
  <si>
    <t>RAG</t>
  </si>
  <si>
    <t>지식그래프</t>
  </si>
  <si>
    <t>하네스·컨텍스트</t>
  </si>
  <si>
    <t>MCP</t>
  </si>
  <si>
    <t>멀티에이전트·HITL</t>
  </si>
  <si>
    <t>평균 이해도</t>
  </si>
  <si>
    <t>수준 구분</t>
  </si>
  <si>
    <t>■ 개념별 평균 이해 수준 (1~5)</t>
  </si>
  <si>
    <t>응답 인원</t>
  </si>
  <si>
    <t>전체 평균</t>
  </si>
  <si>
    <t>■ 수준 분포 / 실습 환경 리스크</t>
  </si>
  <si>
    <t>초급 (평균 2.0 미만)</t>
  </si>
  <si>
    <t>명</t>
  </si>
  <si>
    <t>도입부 확대 필요 인원</t>
  </si>
  <si>
    <t>중급 (2.0~3.5)</t>
  </si>
  <si>
    <t>표준 진행 대상</t>
  </si>
  <si>
    <t>상급 (3.5 이상)</t>
  </si>
  <si>
    <t>조별 멘토 후보</t>
  </si>
  <si>
    <t>AI 사용 경험 없음</t>
  </si>
  <si>
    <t>Day1 개별 지원 대상</t>
  </si>
  <si>
    <t>프로그래밍 경험 전혀 없음</t>
  </si>
  <si>
    <t>바이브코딩 실습 페어 배치</t>
  </si>
  <si>
    <t>입력 규칙 · I~N열(개념별 이해도)에는 1~5 사이 정수를 입력합니다. F열은 '사용해 본 적 없음 / 몇 번 써 본 정도 / 월 1~2회 / 주 1~2회 / 거의 매일' 중 하나, H열은 '전혀 없음 / 엑셀 수식·매크로 / 남의 코드 수정 / 직접 작성 가능 / 실무 상시 개발' 중 하나를 그대로 입력해야 COUNTIF 집계가 맞습니다. 구글폼 응답 시트를 복사해 붙여넣어도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</si>
</sst>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맑은 고딕"/>
      <family val="2"/>
      <scheme val="minor"/>
    </font>
    <font>
      <b/>
      <sz val="14"/>
      <color rgb="FF111111"/>
      <name val="맑은 고딕"/>
      <family val="3"/>
      <charset val="129"/>
    </font>
    <font>
      <sz val="9"/>
      <color rgb="FF6B72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b/>
      <sz val="10"/>
      <color rgb="FFEE3E4C"/>
      <name val="맑은 고딕"/>
      <family val="3"/>
      <charset val="129"/>
    </font>
    <font>
      <b/>
      <sz val="11"/>
      <color rgb="FF111111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9"/>
      <color rgb="FF111111"/>
      <name val="맑은 고딕"/>
      <family val="3"/>
      <charset val="129"/>
    </font>
    <font>
      <b/>
      <sz val="11"/>
      <color rgb="FFEE3E4C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A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7.399999999999999" x14ac:dyDescent="0.4"/>
  <cols>
    <col min="1" max="1" width="16" customWidth="1"/>
    <col min="2" max="2" width="5" customWidth="1"/>
    <col min="3" max="3" width="46" customWidth="1"/>
    <col min="4" max="4" width="12" customWidth="1"/>
    <col min="5" max="5" width="6" customWidth="1"/>
    <col min="6" max="6" width="52" customWidth="1"/>
    <col min="7" max="7" width="34" customWidth="1"/>
  </cols>
  <sheetData>
    <row r="1" spans="1:7" ht="21" x14ac:dyDescent="0.45">
      <c r="A1" s="23" t="s">
        <v>0</v>
      </c>
      <c r="B1" s="22"/>
      <c r="C1" s="22"/>
      <c r="D1" s="22"/>
      <c r="E1" s="22"/>
      <c r="F1" s="22"/>
      <c r="G1" s="22"/>
    </row>
    <row r="2" spans="1:7" x14ac:dyDescent="0.4">
      <c r="A2" s="21" t="s">
        <v>1</v>
      </c>
      <c r="B2" s="22"/>
      <c r="C2" s="22"/>
      <c r="D2" s="22"/>
      <c r="E2" s="22"/>
      <c r="F2" s="22"/>
      <c r="G2" s="22"/>
    </row>
    <row r="4" spans="1:7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34.049999999999997" customHeight="1" x14ac:dyDescent="0.4">
      <c r="A5" s="3" t="s">
        <v>9</v>
      </c>
      <c r="B5" s="4">
        <v>1</v>
      </c>
      <c r="C5" s="5" t="s">
        <v>10</v>
      </c>
      <c r="D5" s="4" t="s">
        <v>11</v>
      </c>
      <c r="E5" s="4" t="s">
        <v>6</v>
      </c>
      <c r="F5" s="3" t="s">
        <v>12</v>
      </c>
      <c r="G5" s="3" t="s">
        <v>13</v>
      </c>
    </row>
    <row r="6" spans="1:7" ht="34.049999999999997" customHeight="1" x14ac:dyDescent="0.4">
      <c r="A6" s="6" t="s">
        <v>9</v>
      </c>
      <c r="B6" s="7">
        <v>2</v>
      </c>
      <c r="C6" s="8" t="s">
        <v>14</v>
      </c>
      <c r="D6" s="7" t="s">
        <v>15</v>
      </c>
      <c r="E6" s="7" t="s">
        <v>6</v>
      </c>
      <c r="F6" s="6" t="s">
        <v>16</v>
      </c>
      <c r="G6" s="6" t="s">
        <v>17</v>
      </c>
    </row>
    <row r="7" spans="1:7" ht="34.049999999999997" customHeight="1" x14ac:dyDescent="0.4">
      <c r="A7" s="3" t="s">
        <v>9</v>
      </c>
      <c r="B7" s="4">
        <v>3</v>
      </c>
      <c r="C7" s="5" t="s">
        <v>18</v>
      </c>
      <c r="D7" s="4" t="s">
        <v>15</v>
      </c>
      <c r="E7" s="4" t="s">
        <v>6</v>
      </c>
      <c r="F7" s="3" t="s">
        <v>19</v>
      </c>
      <c r="G7" s="3" t="s">
        <v>20</v>
      </c>
    </row>
    <row r="8" spans="1:7" ht="34.049999999999997" customHeight="1" x14ac:dyDescent="0.4">
      <c r="A8" s="6" t="s">
        <v>21</v>
      </c>
      <c r="B8" s="7">
        <v>4</v>
      </c>
      <c r="C8" s="8" t="s">
        <v>22</v>
      </c>
      <c r="D8" s="7" t="s">
        <v>15</v>
      </c>
      <c r="E8" s="7" t="s">
        <v>6</v>
      </c>
      <c r="F8" s="6" t="s">
        <v>23</v>
      </c>
      <c r="G8" s="6" t="s">
        <v>24</v>
      </c>
    </row>
    <row r="9" spans="1:7" ht="34.049999999999997" customHeight="1" x14ac:dyDescent="0.4">
      <c r="A9" s="3" t="s">
        <v>21</v>
      </c>
      <c r="B9" s="4">
        <v>5</v>
      </c>
      <c r="C9" s="5" t="s">
        <v>25</v>
      </c>
      <c r="D9" s="4" t="s">
        <v>26</v>
      </c>
      <c r="E9" s="4" t="s">
        <v>6</v>
      </c>
      <c r="F9" s="3" t="s">
        <v>27</v>
      </c>
      <c r="G9" s="3" t="s">
        <v>28</v>
      </c>
    </row>
    <row r="10" spans="1:7" ht="34.049999999999997" customHeight="1" x14ac:dyDescent="0.4">
      <c r="A10" s="6" t="s">
        <v>21</v>
      </c>
      <c r="B10" s="7">
        <v>6</v>
      </c>
      <c r="C10" s="8" t="s">
        <v>29</v>
      </c>
      <c r="D10" s="7" t="s">
        <v>15</v>
      </c>
      <c r="E10" s="7" t="s">
        <v>6</v>
      </c>
      <c r="F10" s="6" t="s">
        <v>30</v>
      </c>
      <c r="G10" s="6" t="s">
        <v>31</v>
      </c>
    </row>
    <row r="11" spans="1:7" ht="34.049999999999997" customHeight="1" x14ac:dyDescent="0.4">
      <c r="A11" s="3" t="s">
        <v>21</v>
      </c>
      <c r="B11" s="4">
        <v>7</v>
      </c>
      <c r="C11" s="5" t="s">
        <v>32</v>
      </c>
      <c r="D11" s="4" t="s">
        <v>15</v>
      </c>
      <c r="E11" s="4" t="s">
        <v>6</v>
      </c>
      <c r="F11" s="3" t="s">
        <v>33</v>
      </c>
      <c r="G11" s="3" t="s">
        <v>34</v>
      </c>
    </row>
    <row r="12" spans="1:7" ht="34.049999999999997" customHeight="1" x14ac:dyDescent="0.4">
      <c r="A12" s="6" t="s">
        <v>35</v>
      </c>
      <c r="B12" s="7">
        <v>8</v>
      </c>
      <c r="C12" s="8" t="s">
        <v>36</v>
      </c>
      <c r="D12" s="7" t="s">
        <v>37</v>
      </c>
      <c r="E12" s="7" t="s">
        <v>6</v>
      </c>
      <c r="F12" s="6" t="s">
        <v>38</v>
      </c>
      <c r="G12" s="6" t="s">
        <v>39</v>
      </c>
    </row>
    <row r="13" spans="1:7" ht="34.049999999999997" customHeight="1" x14ac:dyDescent="0.4">
      <c r="A13" s="3" t="s">
        <v>40</v>
      </c>
      <c r="B13" s="4">
        <v>9</v>
      </c>
      <c r="C13" s="5" t="s">
        <v>41</v>
      </c>
      <c r="D13" s="4" t="s">
        <v>15</v>
      </c>
      <c r="E13" s="4" t="s">
        <v>6</v>
      </c>
      <c r="F13" s="3" t="s">
        <v>42</v>
      </c>
      <c r="G13" s="3" t="s">
        <v>43</v>
      </c>
    </row>
    <row r="14" spans="1:7" ht="34.049999999999997" customHeight="1" x14ac:dyDescent="0.4">
      <c r="A14" s="6" t="s">
        <v>40</v>
      </c>
      <c r="B14" s="7">
        <v>10</v>
      </c>
      <c r="C14" s="8" t="s">
        <v>44</v>
      </c>
      <c r="D14" s="7" t="s">
        <v>15</v>
      </c>
      <c r="E14" s="7" t="s">
        <v>6</v>
      </c>
      <c r="F14" s="6" t="s">
        <v>45</v>
      </c>
      <c r="G14" s="6" t="s">
        <v>46</v>
      </c>
    </row>
    <row r="15" spans="1:7" ht="34.049999999999997" customHeight="1" x14ac:dyDescent="0.4">
      <c r="A15" s="3" t="s">
        <v>40</v>
      </c>
      <c r="B15" s="4">
        <v>11</v>
      </c>
      <c r="C15" s="5" t="s">
        <v>47</v>
      </c>
      <c r="D15" s="4" t="s">
        <v>15</v>
      </c>
      <c r="E15" s="4" t="s">
        <v>6</v>
      </c>
      <c r="F15" s="3" t="s">
        <v>48</v>
      </c>
      <c r="G15" s="3" t="s">
        <v>49</v>
      </c>
    </row>
    <row r="16" spans="1:7" ht="34.049999999999997" customHeight="1" x14ac:dyDescent="0.4">
      <c r="A16" s="6" t="s">
        <v>50</v>
      </c>
      <c r="B16" s="7">
        <v>12</v>
      </c>
      <c r="C16" s="8" t="s">
        <v>51</v>
      </c>
      <c r="D16" s="7" t="s">
        <v>52</v>
      </c>
      <c r="E16" s="7" t="s">
        <v>6</v>
      </c>
      <c r="F16" s="6" t="s">
        <v>53</v>
      </c>
      <c r="G16" s="6" t="s">
        <v>54</v>
      </c>
    </row>
    <row r="17" spans="1:7" ht="34.049999999999997" customHeight="1" x14ac:dyDescent="0.4">
      <c r="A17" s="3" t="s">
        <v>50</v>
      </c>
      <c r="B17" s="4">
        <v>13</v>
      </c>
      <c r="C17" s="5" t="s">
        <v>55</v>
      </c>
      <c r="D17" s="4" t="s">
        <v>56</v>
      </c>
      <c r="E17" s="4" t="s">
        <v>6</v>
      </c>
      <c r="F17" s="3" t="s">
        <v>57</v>
      </c>
      <c r="G17" s="3" t="s">
        <v>58</v>
      </c>
    </row>
    <row r="18" spans="1:7" ht="34.049999999999997" customHeight="1" x14ac:dyDescent="0.4">
      <c r="A18" s="6" t="s">
        <v>50</v>
      </c>
      <c r="B18" s="7">
        <v>14</v>
      </c>
      <c r="C18" s="8" t="s">
        <v>59</v>
      </c>
      <c r="D18" s="7" t="s">
        <v>56</v>
      </c>
      <c r="E18" s="7" t="s">
        <v>60</v>
      </c>
      <c r="F18" s="6" t="s">
        <v>57</v>
      </c>
      <c r="G18" s="6" t="s">
        <v>61</v>
      </c>
    </row>
    <row r="19" spans="1:7" ht="34.049999999999997" customHeight="1" x14ac:dyDescent="0.4">
      <c r="A19" s="3" t="s">
        <v>50</v>
      </c>
      <c r="B19" s="4">
        <v>15</v>
      </c>
      <c r="C19" s="5" t="s">
        <v>62</v>
      </c>
      <c r="D19" s="4" t="s">
        <v>56</v>
      </c>
      <c r="E19" s="4" t="s">
        <v>60</v>
      </c>
      <c r="F19" s="3" t="s">
        <v>57</v>
      </c>
      <c r="G19" s="3" t="s">
        <v>63</v>
      </c>
    </row>
    <row r="21" spans="1:7" x14ac:dyDescent="0.4">
      <c r="A21" s="9" t="s">
        <v>64</v>
      </c>
      <c r="B21" s="10">
        <f>COUNT(B5:B19)</f>
        <v>15</v>
      </c>
      <c r="C21" s="9" t="s">
        <v>65</v>
      </c>
      <c r="D21" s="10">
        <f>COUNTIF(D5:D19,"자유서술")</f>
        <v>3</v>
      </c>
      <c r="E21" s="10">
        <f>COUNTIF(E5:E19,"필수")</f>
        <v>13</v>
      </c>
      <c r="F21" s="1" t="s">
        <v>66</v>
      </c>
    </row>
    <row r="23" spans="1:7" x14ac:dyDescent="0.4">
      <c r="A23" s="21" t="s">
        <v>67</v>
      </c>
      <c r="B23" s="22"/>
      <c r="C23" s="22"/>
      <c r="D23" s="22"/>
      <c r="E23" s="22"/>
      <c r="F23" s="22"/>
      <c r="G23" s="22"/>
    </row>
  </sheetData>
  <mergeCells count="3">
    <mergeCell ref="A2:G2"/>
    <mergeCell ref="A1:G1"/>
    <mergeCell ref="A23:G23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>
      <pane ySplit="12" topLeftCell="A13" activePane="bottomLeft" state="frozen"/>
      <selection pane="bottomLeft"/>
    </sheetView>
  </sheetViews>
  <sheetFormatPr defaultRowHeight="17.399999999999999" x14ac:dyDescent="0.4"/>
  <cols>
    <col min="1" max="1" width="8" customWidth="1"/>
    <col min="2" max="2" width="26" customWidth="1"/>
    <col min="3" max="3" width="44" customWidth="1"/>
    <col min="4" max="4" width="52" customWidth="1"/>
  </cols>
  <sheetData>
    <row r="1" spans="1:4" ht="21" x14ac:dyDescent="0.45">
      <c r="A1" s="23" t="s">
        <v>68</v>
      </c>
      <c r="B1" s="22"/>
      <c r="C1" s="22"/>
      <c r="D1" s="22"/>
    </row>
    <row r="2" spans="1:4" x14ac:dyDescent="0.4">
      <c r="A2" s="21" t="s">
        <v>69</v>
      </c>
      <c r="B2" s="22"/>
      <c r="C2" s="22"/>
      <c r="D2" s="22"/>
    </row>
    <row r="4" spans="1:4" x14ac:dyDescent="0.4">
      <c r="A4" s="2" t="s">
        <v>70</v>
      </c>
      <c r="B4" s="2" t="s">
        <v>71</v>
      </c>
      <c r="C4" s="2" t="s">
        <v>72</v>
      </c>
      <c r="D4" s="2" t="s">
        <v>73</v>
      </c>
    </row>
    <row r="5" spans="1:4" ht="30" customHeight="1" x14ac:dyDescent="0.4">
      <c r="A5" s="4">
        <v>1</v>
      </c>
      <c r="B5" s="5" t="s">
        <v>74</v>
      </c>
      <c r="C5" s="3" t="s">
        <v>75</v>
      </c>
      <c r="D5" s="3" t="s">
        <v>76</v>
      </c>
    </row>
    <row r="6" spans="1:4" ht="30" customHeight="1" x14ac:dyDescent="0.4">
      <c r="A6" s="7">
        <v>2</v>
      </c>
      <c r="B6" s="8" t="s">
        <v>77</v>
      </c>
      <c r="C6" s="6" t="s">
        <v>78</v>
      </c>
      <c r="D6" s="6" t="s">
        <v>79</v>
      </c>
    </row>
    <row r="7" spans="1:4" ht="30" customHeight="1" x14ac:dyDescent="0.4">
      <c r="A7" s="4">
        <v>3</v>
      </c>
      <c r="B7" s="5" t="s">
        <v>80</v>
      </c>
      <c r="C7" s="3" t="s">
        <v>81</v>
      </c>
      <c r="D7" s="3" t="s">
        <v>82</v>
      </c>
    </row>
    <row r="8" spans="1:4" ht="30" customHeight="1" x14ac:dyDescent="0.4">
      <c r="A8" s="7">
        <v>4</v>
      </c>
      <c r="B8" s="8" t="s">
        <v>83</v>
      </c>
      <c r="C8" s="6" t="s">
        <v>84</v>
      </c>
      <c r="D8" s="6" t="s">
        <v>85</v>
      </c>
    </row>
    <row r="9" spans="1:4" ht="30" customHeight="1" x14ac:dyDescent="0.4">
      <c r="A9" s="4">
        <v>5</v>
      </c>
      <c r="B9" s="5" t="s">
        <v>86</v>
      </c>
      <c r="C9" s="3" t="s">
        <v>87</v>
      </c>
      <c r="D9" s="3" t="s">
        <v>88</v>
      </c>
    </row>
    <row r="11" spans="1:4" x14ac:dyDescent="0.4">
      <c r="A11" s="11" t="s">
        <v>89</v>
      </c>
    </row>
    <row r="12" spans="1:4" x14ac:dyDescent="0.4">
      <c r="A12" s="2" t="s">
        <v>90</v>
      </c>
      <c r="B12" s="2" t="s">
        <v>91</v>
      </c>
      <c r="C12" s="2" t="s">
        <v>92</v>
      </c>
      <c r="D12" s="2" t="s">
        <v>93</v>
      </c>
    </row>
    <row r="13" spans="1:4" ht="28.05" customHeight="1" x14ac:dyDescent="0.4">
      <c r="A13" s="4">
        <v>1</v>
      </c>
      <c r="B13" s="5" t="s">
        <v>94</v>
      </c>
      <c r="C13" s="3" t="s">
        <v>95</v>
      </c>
      <c r="D13" s="3" t="s">
        <v>96</v>
      </c>
    </row>
    <row r="14" spans="1:4" ht="28.05" customHeight="1" x14ac:dyDescent="0.4">
      <c r="A14" s="7">
        <v>2</v>
      </c>
      <c r="B14" s="8" t="s">
        <v>97</v>
      </c>
      <c r="C14" s="6" t="s">
        <v>98</v>
      </c>
      <c r="D14" s="6" t="s">
        <v>99</v>
      </c>
    </row>
    <row r="15" spans="1:4" ht="28.05" customHeight="1" x14ac:dyDescent="0.4">
      <c r="A15" s="4">
        <v>3</v>
      </c>
      <c r="B15" s="5" t="s">
        <v>100</v>
      </c>
      <c r="C15" s="3" t="s">
        <v>98</v>
      </c>
      <c r="D15" s="3" t="s">
        <v>101</v>
      </c>
    </row>
    <row r="16" spans="1:4" ht="28.05" customHeight="1" x14ac:dyDescent="0.4">
      <c r="A16" s="7">
        <v>4</v>
      </c>
      <c r="B16" s="8" t="s">
        <v>102</v>
      </c>
      <c r="C16" s="6" t="s">
        <v>103</v>
      </c>
      <c r="D16" s="6" t="s">
        <v>104</v>
      </c>
    </row>
    <row r="17" spans="1:4" ht="28.05" customHeight="1" x14ac:dyDescent="0.4">
      <c r="A17" s="4">
        <v>5</v>
      </c>
      <c r="B17" s="5" t="s">
        <v>105</v>
      </c>
      <c r="C17" s="3" t="s">
        <v>106</v>
      </c>
      <c r="D17" s="3" t="s">
        <v>107</v>
      </c>
    </row>
    <row r="18" spans="1:4" ht="28.05" customHeight="1" x14ac:dyDescent="0.4">
      <c r="A18" s="7">
        <v>6</v>
      </c>
      <c r="B18" s="8" t="s">
        <v>108</v>
      </c>
      <c r="C18" s="6" t="s">
        <v>109</v>
      </c>
      <c r="D18" s="6" t="s">
        <v>110</v>
      </c>
    </row>
  </sheetData>
  <mergeCells count="2">
    <mergeCell ref="A1:D1"/>
    <mergeCell ref="A2:D2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showGridLines="0"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5" customWidth="1"/>
    <col min="2" max="2" width="10" customWidth="1"/>
    <col min="3" max="3" width="14" customWidth="1"/>
    <col min="4" max="4" width="16" customWidth="1"/>
    <col min="5" max="5" width="12" customWidth="1"/>
    <col min="6" max="6" width="14" customWidth="1"/>
    <col min="7" max="8" width="16" customWidth="1"/>
    <col min="9" max="9" width="11" customWidth="1"/>
    <col min="10" max="10" width="8" customWidth="1"/>
    <col min="11" max="11" width="11" customWidth="1"/>
    <col min="12" max="12" width="14" customWidth="1"/>
    <col min="13" max="13" width="8" customWidth="1"/>
    <col min="14" max="14" width="15" customWidth="1"/>
    <col min="15" max="15" width="12" customWidth="1"/>
    <col min="16" max="16" width="11" customWidth="1"/>
  </cols>
  <sheetData>
    <row r="1" spans="1:16" ht="21" x14ac:dyDescent="0.45">
      <c r="A1" s="23" t="s">
        <v>111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4">
      <c r="A2" s="21" t="s">
        <v>112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x14ac:dyDescent="0.4">
      <c r="A4" s="2" t="s">
        <v>3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94</v>
      </c>
      <c r="J4" s="2" t="s">
        <v>120</v>
      </c>
      <c r="K4" s="2" t="s">
        <v>121</v>
      </c>
      <c r="L4" s="2" t="s">
        <v>122</v>
      </c>
      <c r="M4" s="2" t="s">
        <v>123</v>
      </c>
      <c r="N4" s="2" t="s">
        <v>124</v>
      </c>
      <c r="O4" s="2" t="s">
        <v>125</v>
      </c>
      <c r="P4" s="2" t="s">
        <v>126</v>
      </c>
    </row>
    <row r="5" spans="1:16" x14ac:dyDescent="0.4">
      <c r="A5" s="4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 t="str">
        <f t="shared" ref="O5:O34" si="0">IF(COUNT(I5:N5)=0,"-",AVERAGE(I5:N5))</f>
        <v>-</v>
      </c>
      <c r="P5" s="4" t="str">
        <f t="shared" ref="P5:P34" si="1">IF(COUNT(I5:N5)=0,"-",IF(AVERAGE(I5:N5)&lt;2,"초급",IF(AVERAGE(I5:N5)&lt;3.5,"중급","상급")))</f>
        <v>-</v>
      </c>
    </row>
    <row r="6" spans="1:16" x14ac:dyDescent="0.4">
      <c r="A6" s="4">
        <v>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 t="str">
        <f t="shared" si="0"/>
        <v>-</v>
      </c>
      <c r="P6" s="4" t="str">
        <f t="shared" si="1"/>
        <v>-</v>
      </c>
    </row>
    <row r="7" spans="1:16" x14ac:dyDescent="0.4">
      <c r="A7" s="4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 t="str">
        <f t="shared" si="0"/>
        <v>-</v>
      </c>
      <c r="P7" s="4" t="str">
        <f t="shared" si="1"/>
        <v>-</v>
      </c>
    </row>
    <row r="8" spans="1:16" x14ac:dyDescent="0.4">
      <c r="A8" s="4">
        <v>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 t="str">
        <f t="shared" si="0"/>
        <v>-</v>
      </c>
      <c r="P8" s="4" t="str">
        <f t="shared" si="1"/>
        <v>-</v>
      </c>
    </row>
    <row r="9" spans="1:16" x14ac:dyDescent="0.4">
      <c r="A9" s="4">
        <v>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 t="str">
        <f t="shared" si="0"/>
        <v>-</v>
      </c>
      <c r="P9" s="4" t="str">
        <f t="shared" si="1"/>
        <v>-</v>
      </c>
    </row>
    <row r="10" spans="1:16" x14ac:dyDescent="0.4">
      <c r="A10" s="4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 t="str">
        <f t="shared" si="0"/>
        <v>-</v>
      </c>
      <c r="P10" s="4" t="str">
        <f t="shared" si="1"/>
        <v>-</v>
      </c>
    </row>
    <row r="11" spans="1:16" x14ac:dyDescent="0.4">
      <c r="A11" s="4">
        <v>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 t="str">
        <f t="shared" si="0"/>
        <v>-</v>
      </c>
      <c r="P11" s="4" t="str">
        <f t="shared" si="1"/>
        <v>-</v>
      </c>
    </row>
    <row r="12" spans="1:16" x14ac:dyDescent="0.4">
      <c r="A12" s="4">
        <v>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 t="str">
        <f t="shared" si="0"/>
        <v>-</v>
      </c>
      <c r="P12" s="4" t="str">
        <f t="shared" si="1"/>
        <v>-</v>
      </c>
    </row>
    <row r="13" spans="1:16" x14ac:dyDescent="0.4">
      <c r="A13" s="4">
        <v>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 t="str">
        <f t="shared" si="0"/>
        <v>-</v>
      </c>
      <c r="P13" s="4" t="str">
        <f t="shared" si="1"/>
        <v>-</v>
      </c>
    </row>
    <row r="14" spans="1:16" x14ac:dyDescent="0.4">
      <c r="A14" s="4">
        <v>10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 t="str">
        <f t="shared" si="0"/>
        <v>-</v>
      </c>
      <c r="P14" s="4" t="str">
        <f t="shared" si="1"/>
        <v>-</v>
      </c>
    </row>
    <row r="15" spans="1:16" x14ac:dyDescent="0.4">
      <c r="A15" s="4">
        <v>11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 t="str">
        <f t="shared" si="0"/>
        <v>-</v>
      </c>
      <c r="P15" s="4" t="str">
        <f t="shared" si="1"/>
        <v>-</v>
      </c>
    </row>
    <row r="16" spans="1:16" x14ac:dyDescent="0.4">
      <c r="A16" s="4">
        <v>12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 t="str">
        <f t="shared" si="0"/>
        <v>-</v>
      </c>
      <c r="P16" s="4" t="str">
        <f t="shared" si="1"/>
        <v>-</v>
      </c>
    </row>
    <row r="17" spans="1:16" x14ac:dyDescent="0.4">
      <c r="A17" s="4">
        <v>13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 t="str">
        <f t="shared" si="0"/>
        <v>-</v>
      </c>
      <c r="P17" s="4" t="str">
        <f t="shared" si="1"/>
        <v>-</v>
      </c>
    </row>
    <row r="18" spans="1:16" x14ac:dyDescent="0.4">
      <c r="A18" s="4">
        <v>14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 t="str">
        <f t="shared" si="0"/>
        <v>-</v>
      </c>
      <c r="P18" s="4" t="str">
        <f t="shared" si="1"/>
        <v>-</v>
      </c>
    </row>
    <row r="19" spans="1:16" x14ac:dyDescent="0.4">
      <c r="A19" s="4">
        <v>15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 t="str">
        <f t="shared" si="0"/>
        <v>-</v>
      </c>
      <c r="P19" s="4" t="str">
        <f t="shared" si="1"/>
        <v>-</v>
      </c>
    </row>
    <row r="20" spans="1:16" x14ac:dyDescent="0.4">
      <c r="A20" s="4">
        <v>16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 t="str">
        <f t="shared" si="0"/>
        <v>-</v>
      </c>
      <c r="P20" s="4" t="str">
        <f t="shared" si="1"/>
        <v>-</v>
      </c>
    </row>
    <row r="21" spans="1:16" x14ac:dyDescent="0.4">
      <c r="A21" s="4">
        <v>17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 t="str">
        <f t="shared" si="0"/>
        <v>-</v>
      </c>
      <c r="P21" s="4" t="str">
        <f t="shared" si="1"/>
        <v>-</v>
      </c>
    </row>
    <row r="22" spans="1:16" x14ac:dyDescent="0.4">
      <c r="A22" s="4">
        <v>18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 t="str">
        <f t="shared" si="0"/>
        <v>-</v>
      </c>
      <c r="P22" s="4" t="str">
        <f t="shared" si="1"/>
        <v>-</v>
      </c>
    </row>
    <row r="23" spans="1:16" x14ac:dyDescent="0.4">
      <c r="A23" s="4">
        <v>19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 t="str">
        <f t="shared" si="0"/>
        <v>-</v>
      </c>
      <c r="P23" s="4" t="str">
        <f t="shared" si="1"/>
        <v>-</v>
      </c>
    </row>
    <row r="24" spans="1:16" x14ac:dyDescent="0.4">
      <c r="A24" s="4">
        <v>20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 t="str">
        <f t="shared" si="0"/>
        <v>-</v>
      </c>
      <c r="P24" s="4" t="str">
        <f t="shared" si="1"/>
        <v>-</v>
      </c>
    </row>
    <row r="25" spans="1:16" x14ac:dyDescent="0.4">
      <c r="A25" s="4">
        <v>21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 t="str">
        <f t="shared" si="0"/>
        <v>-</v>
      </c>
      <c r="P25" s="4" t="str">
        <f t="shared" si="1"/>
        <v>-</v>
      </c>
    </row>
    <row r="26" spans="1:16" x14ac:dyDescent="0.4">
      <c r="A26" s="4">
        <v>22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 t="str">
        <f t="shared" si="0"/>
        <v>-</v>
      </c>
      <c r="P26" s="4" t="str">
        <f t="shared" si="1"/>
        <v>-</v>
      </c>
    </row>
    <row r="27" spans="1:16" x14ac:dyDescent="0.4">
      <c r="A27" s="4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 t="str">
        <f t="shared" si="0"/>
        <v>-</v>
      </c>
      <c r="P27" s="4" t="str">
        <f t="shared" si="1"/>
        <v>-</v>
      </c>
    </row>
    <row r="28" spans="1:16" x14ac:dyDescent="0.4">
      <c r="A28" s="4">
        <v>24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 t="str">
        <f t="shared" si="0"/>
        <v>-</v>
      </c>
      <c r="P28" s="4" t="str">
        <f t="shared" si="1"/>
        <v>-</v>
      </c>
    </row>
    <row r="29" spans="1:16" x14ac:dyDescent="0.4">
      <c r="A29" s="4">
        <v>25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 t="str">
        <f t="shared" si="0"/>
        <v>-</v>
      </c>
      <c r="P29" s="4" t="str">
        <f t="shared" si="1"/>
        <v>-</v>
      </c>
    </row>
    <row r="30" spans="1:16" x14ac:dyDescent="0.4">
      <c r="A30" s="4">
        <v>26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 t="str">
        <f t="shared" si="0"/>
        <v>-</v>
      </c>
      <c r="P30" s="4" t="str">
        <f t="shared" si="1"/>
        <v>-</v>
      </c>
    </row>
    <row r="31" spans="1:16" x14ac:dyDescent="0.4">
      <c r="A31" s="4">
        <v>27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 t="str">
        <f t="shared" si="0"/>
        <v>-</v>
      </c>
      <c r="P31" s="4" t="str">
        <f t="shared" si="1"/>
        <v>-</v>
      </c>
    </row>
    <row r="32" spans="1:16" x14ac:dyDescent="0.4">
      <c r="A32" s="4">
        <v>28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 t="str">
        <f t="shared" si="0"/>
        <v>-</v>
      </c>
      <c r="P32" s="4" t="str">
        <f t="shared" si="1"/>
        <v>-</v>
      </c>
    </row>
    <row r="33" spans="1:16" x14ac:dyDescent="0.4">
      <c r="A33" s="4">
        <v>29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 t="str">
        <f t="shared" si="0"/>
        <v>-</v>
      </c>
      <c r="P33" s="4" t="str">
        <f t="shared" si="1"/>
        <v>-</v>
      </c>
    </row>
    <row r="34" spans="1:16" x14ac:dyDescent="0.4">
      <c r="A34" s="4">
        <v>30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 t="str">
        <f t="shared" si="0"/>
        <v>-</v>
      </c>
      <c r="P34" s="4" t="str">
        <f t="shared" si="1"/>
        <v>-</v>
      </c>
    </row>
    <row r="36" spans="1:16" x14ac:dyDescent="0.4">
      <c r="A36" s="11" t="s">
        <v>127</v>
      </c>
    </row>
    <row r="37" spans="1:16" x14ac:dyDescent="0.4">
      <c r="A37" s="14" t="s">
        <v>128</v>
      </c>
      <c r="I37" s="15" t="s">
        <v>94</v>
      </c>
      <c r="J37" s="15" t="s">
        <v>120</v>
      </c>
      <c r="K37" s="15" t="s">
        <v>121</v>
      </c>
      <c r="L37" s="15" t="s">
        <v>122</v>
      </c>
      <c r="M37" s="15" t="s">
        <v>123</v>
      </c>
      <c r="N37" s="15" t="s">
        <v>124</v>
      </c>
      <c r="O37" s="16" t="s">
        <v>129</v>
      </c>
    </row>
    <row r="38" spans="1:16" x14ac:dyDescent="0.4">
      <c r="A38" s="17">
        <f>COUNTA(B5:B34)</f>
        <v>0</v>
      </c>
      <c r="I38" s="18" t="str">
        <f t="shared" ref="I38:N38" si="2">IF(COUNT(I5:I34)=0,"-",AVERAGE(I5:I34))</f>
        <v>-</v>
      </c>
      <c r="J38" s="18" t="str">
        <f t="shared" si="2"/>
        <v>-</v>
      </c>
      <c r="K38" s="18" t="str">
        <f t="shared" si="2"/>
        <v>-</v>
      </c>
      <c r="L38" s="18" t="str">
        <f t="shared" si="2"/>
        <v>-</v>
      </c>
      <c r="M38" s="18" t="str">
        <f t="shared" si="2"/>
        <v>-</v>
      </c>
      <c r="N38" s="18" t="str">
        <f t="shared" si="2"/>
        <v>-</v>
      </c>
      <c r="O38" s="19" t="str">
        <f>IF(COUNT(I5:N34)=0,"-",AVERAGE(I5:N34))</f>
        <v>-</v>
      </c>
    </row>
    <row r="40" spans="1:16" x14ac:dyDescent="0.4">
      <c r="A40" s="11" t="s">
        <v>130</v>
      </c>
    </row>
    <row r="41" spans="1:16" x14ac:dyDescent="0.4">
      <c r="A41" s="24" t="s">
        <v>131</v>
      </c>
      <c r="B41" s="22"/>
      <c r="C41" s="22"/>
      <c r="D41" s="22"/>
      <c r="E41" s="20">
        <f>COUNTIF(P5:P34,"초급")</f>
        <v>0</v>
      </c>
      <c r="F41" s="1" t="s">
        <v>132</v>
      </c>
      <c r="G41" s="21" t="s">
        <v>133</v>
      </c>
      <c r="H41" s="22"/>
      <c r="I41" s="22"/>
      <c r="J41" s="22"/>
      <c r="K41" s="22"/>
      <c r="L41" s="22"/>
    </row>
    <row r="42" spans="1:16" x14ac:dyDescent="0.4">
      <c r="A42" s="24" t="s">
        <v>134</v>
      </c>
      <c r="B42" s="22"/>
      <c r="C42" s="22"/>
      <c r="D42" s="22"/>
      <c r="E42" s="20">
        <f>COUNTIF(P5:P34,"중급")</f>
        <v>0</v>
      </c>
      <c r="F42" s="1" t="s">
        <v>132</v>
      </c>
      <c r="G42" s="21" t="s">
        <v>135</v>
      </c>
      <c r="H42" s="22"/>
      <c r="I42" s="22"/>
      <c r="J42" s="22"/>
      <c r="K42" s="22"/>
      <c r="L42" s="22"/>
    </row>
    <row r="43" spans="1:16" x14ac:dyDescent="0.4">
      <c r="A43" s="24" t="s">
        <v>136</v>
      </c>
      <c r="B43" s="22"/>
      <c r="C43" s="22"/>
      <c r="D43" s="22"/>
      <c r="E43" s="20">
        <f>COUNTIF(P5:P34,"상급")</f>
        <v>0</v>
      </c>
      <c r="F43" s="1" t="s">
        <v>132</v>
      </c>
      <c r="G43" s="21" t="s">
        <v>137</v>
      </c>
      <c r="H43" s="22"/>
      <c r="I43" s="22"/>
      <c r="J43" s="22"/>
      <c r="K43" s="22"/>
      <c r="L43" s="22"/>
    </row>
    <row r="44" spans="1:16" x14ac:dyDescent="0.4">
      <c r="A44" s="24" t="s">
        <v>138</v>
      </c>
      <c r="B44" s="22"/>
      <c r="C44" s="22"/>
      <c r="D44" s="22"/>
      <c r="E44" s="20">
        <f>COUNTIF(F5:F34,"사용해 본 적 없음")</f>
        <v>0</v>
      </c>
      <c r="F44" s="1" t="s">
        <v>132</v>
      </c>
      <c r="G44" s="21" t="s">
        <v>139</v>
      </c>
      <c r="H44" s="22"/>
      <c r="I44" s="22"/>
      <c r="J44" s="22"/>
      <c r="K44" s="22"/>
      <c r="L44" s="22"/>
    </row>
    <row r="45" spans="1:16" x14ac:dyDescent="0.4">
      <c r="A45" s="24" t="s">
        <v>140</v>
      </c>
      <c r="B45" s="22"/>
      <c r="C45" s="22"/>
      <c r="D45" s="22"/>
      <c r="E45" s="20">
        <f>COUNTIF(H5:H34,"전혀 없음")</f>
        <v>0</v>
      </c>
      <c r="F45" s="1" t="s">
        <v>132</v>
      </c>
      <c r="G45" s="21" t="s">
        <v>141</v>
      </c>
      <c r="H45" s="22"/>
      <c r="I45" s="22"/>
      <c r="J45" s="22"/>
      <c r="K45" s="22"/>
      <c r="L45" s="22"/>
    </row>
    <row r="47" spans="1:16" x14ac:dyDescent="0.4">
      <c r="A47" s="25" t="s">
        <v>142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x14ac:dyDescent="0.4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</sheetData>
  <mergeCells count="13">
    <mergeCell ref="A47:P48"/>
    <mergeCell ref="G43:L43"/>
    <mergeCell ref="A42:D42"/>
    <mergeCell ref="A44:D44"/>
    <mergeCell ref="A2:P2"/>
    <mergeCell ref="A45:D45"/>
    <mergeCell ref="G41:L41"/>
    <mergeCell ref="A1:P1"/>
    <mergeCell ref="G42:L42"/>
    <mergeCell ref="G44:L44"/>
    <mergeCell ref="G45:L45"/>
    <mergeCell ref="A43:D43"/>
    <mergeCell ref="A41:D4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설문 문항</vt:lpstr>
      <vt:lpstr>이해도 척도</vt:lpstr>
      <vt:lpstr>응답 집계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2026-08-06T07:32:43Z</dcterms:created>
  <dcterms:modified xsi:type="dcterms:W3CDTF">2026-08-06T07:33:01Z</dcterms:modified>
</cp:coreProperties>
</file>