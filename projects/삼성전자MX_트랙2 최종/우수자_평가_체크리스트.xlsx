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 체크리스트" sheetId="1" state="visible" r:id="rId1"/>
    <sheet xmlns:r="http://schemas.openxmlformats.org/officeDocument/2006/relationships" name="수강생별 점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30" customWidth="1" min="4" max="4"/>
    <col width="28" customWidth="1" min="5" max="5"/>
  </cols>
  <sheetData>
    <row r="1" ht="35" customHeight="1">
      <c r="A1" s="1" t="inlineStr">
        <is>
          <t>멀티에이전트 오케스트레이션 실전 — 우수자 평가 체크리스트</t>
        </is>
      </c>
    </row>
    <row r="2" ht="25" customHeight="1">
      <c r="A2" s="2" t="inlineStr">
        <is>
          <t>삼성전자MX 트랙2 | 1일 8시간 과정</t>
        </is>
      </c>
    </row>
    <row r="3" ht="25" customHeight="1">
      <c r="A3" s="3" t="inlineStr">
        <is>
          <t>평가자: ____________    평가일: ____________    수강인원: ____________</t>
        </is>
      </c>
    </row>
    <row r="4" ht="10" customHeight="1"/>
    <row r="5" ht="28" customHeight="1">
      <c r="A5" s="4" t="inlineStr">
        <is>
          <t>#</t>
        </is>
      </c>
      <c r="B5" s="4" t="inlineStr">
        <is>
          <t>평가 항목</t>
        </is>
      </c>
      <c r="C5" s="4" t="inlineStr">
        <is>
          <t>배점</t>
        </is>
      </c>
      <c r="D5" s="4" t="inlineStr">
        <is>
          <t>체크 방법 (30초)</t>
        </is>
      </c>
      <c r="E5" s="4" t="inlineStr">
        <is>
          <t>평가 포인트</t>
        </is>
      </c>
    </row>
    <row r="6" ht="55" customHeight="1">
      <c r="A6" s="5" t="n">
        <v>1</v>
      </c>
      <c r="B6" s="6" t="inlineStr">
        <is>
          <t>실행 완료
두 실습 산출물이 에러 없이 실행됨</t>
        </is>
      </c>
      <c r="C6" s="5" t="n">
        <v>40</v>
      </c>
      <c r="D6" s="6" t="inlineStr">
        <is>
          <t>화면에 결과물(터미널 출력 또는 동작) 확인</t>
        </is>
      </c>
      <c r="E6" s="6" t="inlineStr">
        <is>
          <t>산출물 2개 모두 실행: 40점
1개만: 20점
미실행: 0점</t>
        </is>
      </c>
    </row>
    <row r="7" ht="55" customHeight="1">
      <c r="A7" s="5" t="n">
        <v>2</v>
      </c>
      <c r="B7" s="6" t="inlineStr">
        <is>
          <t>패턴 적용
Manager-Worker 분업 구조 실제 동작 (FE/BE 분리)</t>
        </is>
      </c>
      <c r="C7" s="5" t="n">
        <v>20</v>
      </c>
      <c r="D7" s="6" t="inlineStr">
        <is>
          <t>코드에 role 분리 + task 위임 로직 존재 여부</t>
        </is>
      </c>
      <c r="E7" s="6" t="inlineStr">
        <is>
          <t>명확한 분리: 20점
부분적: 10점
미적용: 0점</t>
        </is>
      </c>
    </row>
    <row r="8" ht="55" customHeight="1">
      <c r="A8" s="5" t="n">
        <v>3</v>
      </c>
      <c r="B8" s="6" t="inlineStr">
        <is>
          <t>Self-Healing
LangGraph에 검증 노드 + 종료 조건 명시</t>
        </is>
      </c>
      <c r="C8" s="5" t="n">
        <v>20</v>
      </c>
      <c r="D8" s="6" t="inlineStr">
        <is>
          <t>코드에 conditional edge + max_iteration 존재 여부</t>
        </is>
      </c>
      <c r="E8" s="6" t="inlineStr">
        <is>
          <t>둘 다 구현: 20점
하나만: 10점
미구현: 0점</t>
        </is>
      </c>
    </row>
    <row r="9" ht="55" customHeight="1">
      <c r="A9" s="5" t="n">
        <v>4</v>
      </c>
      <c r="B9" s="6" t="inlineStr">
        <is>
          <t>가드레일
DOVA/VMAO 개념이 코드에 반영됨</t>
        </is>
      </c>
      <c r="C9" s="5" t="n">
        <v>10</v>
      </c>
      <c r="D9" s="6" t="inlineStr">
        <is>
          <t>프롬프트에 제약조건 또는 검증 로직 포함 여부</t>
        </is>
      </c>
      <c r="E9" s="6" t="inlineStr">
        <is>
          <t>명시적 제약: 10점
암시적: 5점
없음: 0점</t>
        </is>
      </c>
    </row>
    <row r="10" ht="55" customHeight="1">
      <c r="A10" s="5" t="n">
        <v>5</v>
      </c>
      <c r="B10" s="6" t="inlineStr">
        <is>
          <t>독찍성
템플릿을 넘어서는 자체 시나리오/개선</t>
        </is>
      </c>
      <c r="C10" s="5" t="n">
        <v>10</v>
      </c>
      <c r="D10" s="6" t="inlineStr">
        <is>
          <t>기본 과제 범위를 넘는 추가 기능 또는 시나리오</t>
        </is>
      </c>
      <c r="E10" s="6" t="inlineStr">
        <is>
          <t>확장 구현: 10점
미미한 변화: 5점
없음: 0점</t>
        </is>
      </c>
    </row>
    <row r="11" ht="28" customHeight="1">
      <c r="A11" s="7" t="inlineStr">
        <is>
          <t>총점</t>
        </is>
      </c>
      <c r="B11" s="8" t="n"/>
      <c r="C11" s="7">
        <f>SUM(C6:C10)</f>
        <v/>
      </c>
      <c r="D11" s="8" t="n"/>
      <c r="E11" s="8" t="n"/>
    </row>
    <row r="13">
      <c r="A13" s="9" t="inlineStr">
        <is>
          <t>■ 판정 기준</t>
        </is>
      </c>
    </row>
    <row r="14">
      <c r="A14" s="10" t="inlineStr">
        <is>
          <t xml:space="preserve">  · 우수자: 80점 이상 (1~3번 항목 필수 만족)</t>
        </is>
      </c>
    </row>
    <row r="15">
      <c r="A15" s="10" t="inlineStr">
        <is>
          <t xml:space="preserve">  · 일반 우수: 70~79점</t>
        </is>
      </c>
    </row>
    <row r="16">
      <c r="A16" s="10" t="inlineStr">
        <is>
          <t xml:space="preserve">  · 컷라인 조정: 전체 수강생 분포에 따라 70점으로 하향 가능</t>
        </is>
      </c>
    </row>
    <row r="18">
      <c r="A18" s="9" t="inlineStr">
        <is>
          <t>■ 평가 워크플로우 (1인당 1분)</t>
        </is>
      </c>
    </row>
    <row r="19">
      <c r="A19" s="10" t="inlineStr">
        <is>
          <t xml:space="preserve">  1. 산출물 폴더 열기 (10초)</t>
        </is>
      </c>
    </row>
    <row r="20">
      <c r="A20" s="10" t="inlineStr">
        <is>
          <t xml:space="preserve">  2. "실행해주세요" → 결과 확인 (20초) ← 안되면 1번 0점</t>
        </is>
      </c>
    </row>
    <row r="21">
      <c r="A21" s="10" t="inlineStr">
        <is>
          <t xml:space="preserve">  3. 코드 스크롤 → role 분리 / conditional edge 확인 (20초)</t>
        </is>
      </c>
    </row>
    <row r="22">
      <c r="A22" s="10" t="inlineStr">
        <is>
          <t xml:space="preserve">  4. 총점 계산 → 기록 (10초)</t>
        </is>
      </c>
    </row>
  </sheetData>
  <mergeCells count="13">
    <mergeCell ref="A21:E21"/>
    <mergeCell ref="A20:E20"/>
    <mergeCell ref="A2:E2"/>
    <mergeCell ref="A16:E16"/>
    <mergeCell ref="A15:E15"/>
    <mergeCell ref="A11:B11"/>
    <mergeCell ref="A19:E19"/>
    <mergeCell ref="A1:E1"/>
    <mergeCell ref="A13:E13"/>
    <mergeCell ref="A14:E14"/>
    <mergeCell ref="A22:E22"/>
    <mergeCell ref="A18:E18"/>
    <mergeCell ref="A3:E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10" customWidth="1" min="10" max="10"/>
    <col width="15" customWidth="1" min="11" max="11"/>
  </cols>
  <sheetData>
    <row r="1" ht="35" customHeight="1">
      <c r="A1" s="1" t="inlineStr">
        <is>
          <t>멀티에이전트 오케스트레이션 실전 — 수강생별 평가 점수표</t>
        </is>
      </c>
    </row>
    <row r="2" ht="35" customHeight="1">
      <c r="A2" s="4" t="inlineStr">
        <is>
          <t>No</t>
        </is>
      </c>
      <c r="B2" s="4" t="inlineStr">
        <is>
          <t>성명</t>
        </is>
      </c>
      <c r="C2" s="4" t="inlineStr">
        <is>
          <t>소속/부서</t>
        </is>
      </c>
      <c r="D2" s="4" t="inlineStr">
        <is>
          <t>1.실행완료
(40)</t>
        </is>
      </c>
      <c r="E2" s="4" t="inlineStr">
        <is>
          <t>2.패턴적용
(20)</t>
        </is>
      </c>
      <c r="F2" s="4" t="inlineStr">
        <is>
          <t>3.Self-Healing
(20)</t>
        </is>
      </c>
      <c r="G2" s="4" t="inlineStr">
        <is>
          <t>4.가드레일
(10)</t>
        </is>
      </c>
      <c r="H2" s="4" t="inlineStr">
        <is>
          <t>5.독찍성
(10)</t>
        </is>
      </c>
      <c r="I2" s="4" t="inlineStr">
        <is>
          <t>총점</t>
        </is>
      </c>
      <c r="J2" s="4" t="inlineStr">
        <is>
          <t>판정</t>
        </is>
      </c>
      <c r="K2" s="4" t="inlineStr">
        <is>
          <t>비고</t>
        </is>
      </c>
    </row>
    <row r="3">
      <c r="A3" s="11" t="n">
        <v>1</v>
      </c>
      <c r="B3" s="12" t="n"/>
      <c r="C3" s="12" t="n"/>
      <c r="D3" s="13" t="n"/>
      <c r="E3" s="13" t="n"/>
      <c r="F3" s="13" t="n"/>
      <c r="G3" s="13" t="n"/>
      <c r="H3" s="13" t="n"/>
      <c r="I3" s="14">
        <f>SUM(D3:H3)</f>
        <v/>
      </c>
      <c r="J3" s="11">
        <f>IF(I3&gt;=80,"우수",IF(I3&gt;=70,"일반우수",""))</f>
        <v/>
      </c>
      <c r="K3" s="12" t="n"/>
    </row>
    <row r="4">
      <c r="A4" s="11" t="n">
        <v>2</v>
      </c>
      <c r="B4" s="12" t="n"/>
      <c r="C4" s="12" t="n"/>
      <c r="D4" s="13" t="n"/>
      <c r="E4" s="13" t="n"/>
      <c r="F4" s="13" t="n"/>
      <c r="G4" s="13" t="n"/>
      <c r="H4" s="13" t="n"/>
      <c r="I4" s="14">
        <f>SUM(D4:H4)</f>
        <v/>
      </c>
      <c r="J4" s="11">
        <f>IF(I4&gt;=80,"우수",IF(I4&gt;=70,"일반우수",""))</f>
        <v/>
      </c>
      <c r="K4" s="12" t="n"/>
    </row>
    <row r="5">
      <c r="A5" s="11" t="n">
        <v>3</v>
      </c>
      <c r="B5" s="12" t="n"/>
      <c r="C5" s="12" t="n"/>
      <c r="D5" s="13" t="n"/>
      <c r="E5" s="13" t="n"/>
      <c r="F5" s="13" t="n"/>
      <c r="G5" s="13" t="n"/>
      <c r="H5" s="13" t="n"/>
      <c r="I5" s="14">
        <f>SUM(D5:H5)</f>
        <v/>
      </c>
      <c r="J5" s="11">
        <f>IF(I5&gt;=80,"우수",IF(I5&gt;=70,"일반우수",""))</f>
        <v/>
      </c>
      <c r="K5" s="12" t="n"/>
    </row>
    <row r="6">
      <c r="A6" s="11" t="n">
        <v>4</v>
      </c>
      <c r="B6" s="12" t="n"/>
      <c r="C6" s="12" t="n"/>
      <c r="D6" s="13" t="n"/>
      <c r="E6" s="13" t="n"/>
      <c r="F6" s="13" t="n"/>
      <c r="G6" s="13" t="n"/>
      <c r="H6" s="13" t="n"/>
      <c r="I6" s="14">
        <f>SUM(D6:H6)</f>
        <v/>
      </c>
      <c r="J6" s="11">
        <f>IF(I6&gt;=80,"우수",IF(I6&gt;=70,"일반우수",""))</f>
        <v/>
      </c>
      <c r="K6" s="12" t="n"/>
    </row>
    <row r="7">
      <c r="A7" s="11" t="n">
        <v>5</v>
      </c>
      <c r="B7" s="12" t="n"/>
      <c r="C7" s="12" t="n"/>
      <c r="D7" s="13" t="n"/>
      <c r="E7" s="13" t="n"/>
      <c r="F7" s="13" t="n"/>
      <c r="G7" s="13" t="n"/>
      <c r="H7" s="13" t="n"/>
      <c r="I7" s="14">
        <f>SUM(D7:H7)</f>
        <v/>
      </c>
      <c r="J7" s="11">
        <f>IF(I7&gt;=80,"우수",IF(I7&gt;=70,"일반우수",""))</f>
        <v/>
      </c>
      <c r="K7" s="12" t="n"/>
    </row>
    <row r="8">
      <c r="A8" s="11" t="n">
        <v>6</v>
      </c>
      <c r="B8" s="12" t="n"/>
      <c r="C8" s="12" t="n"/>
      <c r="D8" s="13" t="n"/>
      <c r="E8" s="13" t="n"/>
      <c r="F8" s="13" t="n"/>
      <c r="G8" s="13" t="n"/>
      <c r="H8" s="13" t="n"/>
      <c r="I8" s="14">
        <f>SUM(D8:H8)</f>
        <v/>
      </c>
      <c r="J8" s="11">
        <f>IF(I8&gt;=80,"우수",IF(I8&gt;=70,"일반우수",""))</f>
        <v/>
      </c>
      <c r="K8" s="12" t="n"/>
    </row>
    <row r="9">
      <c r="A9" s="11" t="n">
        <v>7</v>
      </c>
      <c r="B9" s="12" t="n"/>
      <c r="C9" s="12" t="n"/>
      <c r="D9" s="13" t="n"/>
      <c r="E9" s="13" t="n"/>
      <c r="F9" s="13" t="n"/>
      <c r="G9" s="13" t="n"/>
      <c r="H9" s="13" t="n"/>
      <c r="I9" s="14">
        <f>SUM(D9:H9)</f>
        <v/>
      </c>
      <c r="J9" s="11">
        <f>IF(I9&gt;=80,"우수",IF(I9&gt;=70,"일반우수",""))</f>
        <v/>
      </c>
      <c r="K9" s="12" t="n"/>
    </row>
    <row r="10">
      <c r="A10" s="11" t="n">
        <v>8</v>
      </c>
      <c r="B10" s="12" t="n"/>
      <c r="C10" s="12" t="n"/>
      <c r="D10" s="13" t="n"/>
      <c r="E10" s="13" t="n"/>
      <c r="F10" s="13" t="n"/>
      <c r="G10" s="13" t="n"/>
      <c r="H10" s="13" t="n"/>
      <c r="I10" s="14">
        <f>SUM(D10:H10)</f>
        <v/>
      </c>
      <c r="J10" s="11">
        <f>IF(I10&gt;=80,"우수",IF(I10&gt;=70,"일반우수",""))</f>
        <v/>
      </c>
      <c r="K10" s="12" t="n"/>
    </row>
    <row r="11">
      <c r="A11" s="11" t="n">
        <v>9</v>
      </c>
      <c r="B11" s="12" t="n"/>
      <c r="C11" s="12" t="n"/>
      <c r="D11" s="13" t="n"/>
      <c r="E11" s="13" t="n"/>
      <c r="F11" s="13" t="n"/>
      <c r="G11" s="13" t="n"/>
      <c r="H11" s="13" t="n"/>
      <c r="I11" s="14">
        <f>SUM(D11:H11)</f>
        <v/>
      </c>
      <c r="J11" s="11">
        <f>IF(I11&gt;=80,"우수",IF(I11&gt;=70,"일반우수",""))</f>
        <v/>
      </c>
      <c r="K11" s="12" t="n"/>
    </row>
    <row r="12">
      <c r="A12" s="11" t="n">
        <v>10</v>
      </c>
      <c r="B12" s="12" t="n"/>
      <c r="C12" s="12" t="n"/>
      <c r="D12" s="13" t="n"/>
      <c r="E12" s="13" t="n"/>
      <c r="F12" s="13" t="n"/>
      <c r="G12" s="13" t="n"/>
      <c r="H12" s="13" t="n"/>
      <c r="I12" s="14">
        <f>SUM(D12:H12)</f>
        <v/>
      </c>
      <c r="J12" s="11">
        <f>IF(I12&gt;=80,"우수",IF(I12&gt;=70,"일반우수",""))</f>
        <v/>
      </c>
      <c r="K12" s="12" t="n"/>
    </row>
    <row r="13">
      <c r="A13" s="11" t="n">
        <v>11</v>
      </c>
      <c r="B13" s="12" t="n"/>
      <c r="C13" s="12" t="n"/>
      <c r="D13" s="13" t="n"/>
      <c r="E13" s="13" t="n"/>
      <c r="F13" s="13" t="n"/>
      <c r="G13" s="13" t="n"/>
      <c r="H13" s="13" t="n"/>
      <c r="I13" s="14">
        <f>SUM(D13:H13)</f>
        <v/>
      </c>
      <c r="J13" s="11">
        <f>IF(I13&gt;=80,"우수",IF(I13&gt;=70,"일반우수",""))</f>
        <v/>
      </c>
      <c r="K13" s="12" t="n"/>
    </row>
    <row r="14">
      <c r="A14" s="11" t="n">
        <v>12</v>
      </c>
      <c r="B14" s="12" t="n"/>
      <c r="C14" s="12" t="n"/>
      <c r="D14" s="13" t="n"/>
      <c r="E14" s="13" t="n"/>
      <c r="F14" s="13" t="n"/>
      <c r="G14" s="13" t="n"/>
      <c r="H14" s="13" t="n"/>
      <c r="I14" s="14">
        <f>SUM(D14:H14)</f>
        <v/>
      </c>
      <c r="J14" s="11">
        <f>IF(I14&gt;=80,"우수",IF(I14&gt;=70,"일반우수",""))</f>
        <v/>
      </c>
      <c r="K14" s="12" t="n"/>
    </row>
    <row r="15">
      <c r="A15" s="11" t="n">
        <v>13</v>
      </c>
      <c r="B15" s="12" t="n"/>
      <c r="C15" s="12" t="n"/>
      <c r="D15" s="13" t="n"/>
      <c r="E15" s="13" t="n"/>
      <c r="F15" s="13" t="n"/>
      <c r="G15" s="13" t="n"/>
      <c r="H15" s="13" t="n"/>
      <c r="I15" s="14">
        <f>SUM(D15:H15)</f>
        <v/>
      </c>
      <c r="J15" s="11">
        <f>IF(I15&gt;=80,"우수",IF(I15&gt;=70,"일반우수",""))</f>
        <v/>
      </c>
      <c r="K15" s="12" t="n"/>
    </row>
    <row r="16">
      <c r="A16" s="11" t="n">
        <v>14</v>
      </c>
      <c r="B16" s="12" t="n"/>
      <c r="C16" s="12" t="n"/>
      <c r="D16" s="13" t="n"/>
      <c r="E16" s="13" t="n"/>
      <c r="F16" s="13" t="n"/>
      <c r="G16" s="13" t="n"/>
      <c r="H16" s="13" t="n"/>
      <c r="I16" s="14">
        <f>SUM(D16:H16)</f>
        <v/>
      </c>
      <c r="J16" s="11">
        <f>IF(I16&gt;=80,"우수",IF(I16&gt;=70,"일반우수",""))</f>
        <v/>
      </c>
      <c r="K16" s="12" t="n"/>
    </row>
    <row r="17">
      <c r="A17" s="11" t="n">
        <v>15</v>
      </c>
      <c r="B17" s="12" t="n"/>
      <c r="C17" s="12" t="n"/>
      <c r="D17" s="13" t="n"/>
      <c r="E17" s="13" t="n"/>
      <c r="F17" s="13" t="n"/>
      <c r="G17" s="13" t="n"/>
      <c r="H17" s="13" t="n"/>
      <c r="I17" s="14">
        <f>SUM(D17:H17)</f>
        <v/>
      </c>
      <c r="J17" s="11">
        <f>IF(I17&gt;=80,"우수",IF(I17&gt;=70,"일반우수",""))</f>
        <v/>
      </c>
      <c r="K17" s="12" t="n"/>
    </row>
    <row r="18">
      <c r="A18" s="11" t="n">
        <v>16</v>
      </c>
      <c r="B18" s="12" t="n"/>
      <c r="C18" s="12" t="n"/>
      <c r="D18" s="13" t="n"/>
      <c r="E18" s="13" t="n"/>
      <c r="F18" s="13" t="n"/>
      <c r="G18" s="13" t="n"/>
      <c r="H18" s="13" t="n"/>
      <c r="I18" s="14">
        <f>SUM(D18:H18)</f>
        <v/>
      </c>
      <c r="J18" s="11">
        <f>IF(I18&gt;=80,"우수",IF(I18&gt;=70,"일반우수",""))</f>
        <v/>
      </c>
      <c r="K18" s="12" t="n"/>
    </row>
    <row r="19">
      <c r="A19" s="11" t="n">
        <v>17</v>
      </c>
      <c r="B19" s="12" t="n"/>
      <c r="C19" s="12" t="n"/>
      <c r="D19" s="13" t="n"/>
      <c r="E19" s="13" t="n"/>
      <c r="F19" s="13" t="n"/>
      <c r="G19" s="13" t="n"/>
      <c r="H19" s="13" t="n"/>
      <c r="I19" s="14">
        <f>SUM(D19:H19)</f>
        <v/>
      </c>
      <c r="J19" s="11">
        <f>IF(I19&gt;=80,"우수",IF(I19&gt;=70,"일반우수",""))</f>
        <v/>
      </c>
      <c r="K19" s="12" t="n"/>
    </row>
    <row r="20">
      <c r="A20" s="11" t="n">
        <v>18</v>
      </c>
      <c r="B20" s="12" t="n"/>
      <c r="C20" s="12" t="n"/>
      <c r="D20" s="13" t="n"/>
      <c r="E20" s="13" t="n"/>
      <c r="F20" s="13" t="n"/>
      <c r="G20" s="13" t="n"/>
      <c r="H20" s="13" t="n"/>
      <c r="I20" s="14">
        <f>SUM(D20:H20)</f>
        <v/>
      </c>
      <c r="J20" s="11">
        <f>IF(I20&gt;=80,"우수",IF(I20&gt;=70,"일반우수",""))</f>
        <v/>
      </c>
      <c r="K20" s="12" t="n"/>
    </row>
    <row r="21">
      <c r="A21" s="11" t="n">
        <v>19</v>
      </c>
      <c r="B21" s="12" t="n"/>
      <c r="C21" s="12" t="n"/>
      <c r="D21" s="13" t="n"/>
      <c r="E21" s="13" t="n"/>
      <c r="F21" s="13" t="n"/>
      <c r="G21" s="13" t="n"/>
      <c r="H21" s="13" t="n"/>
      <c r="I21" s="14">
        <f>SUM(D21:H21)</f>
        <v/>
      </c>
      <c r="J21" s="11">
        <f>IF(I21&gt;=80,"우수",IF(I21&gt;=70,"일반우수",""))</f>
        <v/>
      </c>
      <c r="K21" s="12" t="n"/>
    </row>
    <row r="22">
      <c r="A22" s="11" t="n">
        <v>20</v>
      </c>
      <c r="B22" s="12" t="n"/>
      <c r="C22" s="12" t="n"/>
      <c r="D22" s="13" t="n"/>
      <c r="E22" s="13" t="n"/>
      <c r="F22" s="13" t="n"/>
      <c r="G22" s="13" t="n"/>
      <c r="H22" s="13" t="n"/>
      <c r="I22" s="14">
        <f>SUM(D22:H22)</f>
        <v/>
      </c>
      <c r="J22" s="11">
        <f>IF(I22&gt;=80,"우수",IF(I22&gt;=70,"일반우수",""))</f>
        <v/>
      </c>
      <c r="K22" s="12" t="n"/>
    </row>
    <row r="23">
      <c r="A23" s="11" t="n">
        <v>21</v>
      </c>
      <c r="B23" s="12" t="n"/>
      <c r="C23" s="12" t="n"/>
      <c r="D23" s="13" t="n"/>
      <c r="E23" s="13" t="n"/>
      <c r="F23" s="13" t="n"/>
      <c r="G23" s="13" t="n"/>
      <c r="H23" s="13" t="n"/>
      <c r="I23" s="14">
        <f>SUM(D23:H23)</f>
        <v/>
      </c>
      <c r="J23" s="11">
        <f>IF(I23&gt;=80,"우수",IF(I23&gt;=70,"일반우수",""))</f>
        <v/>
      </c>
      <c r="K23" s="12" t="n"/>
    </row>
    <row r="24">
      <c r="A24" s="11" t="n">
        <v>22</v>
      </c>
      <c r="B24" s="12" t="n"/>
      <c r="C24" s="12" t="n"/>
      <c r="D24" s="13" t="n"/>
      <c r="E24" s="13" t="n"/>
      <c r="F24" s="13" t="n"/>
      <c r="G24" s="13" t="n"/>
      <c r="H24" s="13" t="n"/>
      <c r="I24" s="14">
        <f>SUM(D24:H24)</f>
        <v/>
      </c>
      <c r="J24" s="11">
        <f>IF(I24&gt;=80,"우수",IF(I24&gt;=70,"일반우수",""))</f>
        <v/>
      </c>
      <c r="K24" s="12" t="n"/>
    </row>
    <row r="25">
      <c r="A25" s="11" t="n">
        <v>23</v>
      </c>
      <c r="B25" s="12" t="n"/>
      <c r="C25" s="12" t="n"/>
      <c r="D25" s="13" t="n"/>
      <c r="E25" s="13" t="n"/>
      <c r="F25" s="13" t="n"/>
      <c r="G25" s="13" t="n"/>
      <c r="H25" s="13" t="n"/>
      <c r="I25" s="14">
        <f>SUM(D25:H25)</f>
        <v/>
      </c>
      <c r="J25" s="11">
        <f>IF(I25&gt;=80,"우수",IF(I25&gt;=70,"일반우수",""))</f>
        <v/>
      </c>
      <c r="K25" s="12" t="n"/>
    </row>
    <row r="26">
      <c r="A26" s="11" t="n">
        <v>24</v>
      </c>
      <c r="B26" s="12" t="n"/>
      <c r="C26" s="12" t="n"/>
      <c r="D26" s="13" t="n"/>
      <c r="E26" s="13" t="n"/>
      <c r="F26" s="13" t="n"/>
      <c r="G26" s="13" t="n"/>
      <c r="H26" s="13" t="n"/>
      <c r="I26" s="14">
        <f>SUM(D26:H26)</f>
        <v/>
      </c>
      <c r="J26" s="11">
        <f>IF(I26&gt;=80,"우수",IF(I26&gt;=70,"일반우수",""))</f>
        <v/>
      </c>
      <c r="K26" s="12" t="n"/>
    </row>
    <row r="27">
      <c r="A27" s="11" t="n">
        <v>25</v>
      </c>
      <c r="B27" s="12" t="n"/>
      <c r="C27" s="12" t="n"/>
      <c r="D27" s="13" t="n"/>
      <c r="E27" s="13" t="n"/>
      <c r="F27" s="13" t="n"/>
      <c r="G27" s="13" t="n"/>
      <c r="H27" s="13" t="n"/>
      <c r="I27" s="14">
        <f>SUM(D27:H27)</f>
        <v/>
      </c>
      <c r="J27" s="11">
        <f>IF(I27&gt;=80,"우수",IF(I27&gt;=70,"일반우수",""))</f>
        <v/>
      </c>
      <c r="K27" s="12" t="n"/>
    </row>
    <row r="28">
      <c r="A28" s="11" t="n">
        <v>26</v>
      </c>
      <c r="B28" s="12" t="n"/>
      <c r="C28" s="12" t="n"/>
      <c r="D28" s="13" t="n"/>
      <c r="E28" s="13" t="n"/>
      <c r="F28" s="13" t="n"/>
      <c r="G28" s="13" t="n"/>
      <c r="H28" s="13" t="n"/>
      <c r="I28" s="14">
        <f>SUM(D28:H28)</f>
        <v/>
      </c>
      <c r="J28" s="11">
        <f>IF(I28&gt;=80,"우수",IF(I28&gt;=70,"일반우수",""))</f>
        <v/>
      </c>
      <c r="K28" s="12" t="n"/>
    </row>
    <row r="29">
      <c r="A29" s="11" t="n">
        <v>27</v>
      </c>
      <c r="B29" s="12" t="n"/>
      <c r="C29" s="12" t="n"/>
      <c r="D29" s="13" t="n"/>
      <c r="E29" s="13" t="n"/>
      <c r="F29" s="13" t="n"/>
      <c r="G29" s="13" t="n"/>
      <c r="H29" s="13" t="n"/>
      <c r="I29" s="14">
        <f>SUM(D29:H29)</f>
        <v/>
      </c>
      <c r="J29" s="11">
        <f>IF(I29&gt;=80,"우수",IF(I29&gt;=70,"일반우수",""))</f>
        <v/>
      </c>
      <c r="K29" s="12" t="n"/>
    </row>
    <row r="30">
      <c r="A30" s="11" t="n">
        <v>28</v>
      </c>
      <c r="B30" s="12" t="n"/>
      <c r="C30" s="12" t="n"/>
      <c r="D30" s="13" t="n"/>
      <c r="E30" s="13" t="n"/>
      <c r="F30" s="13" t="n"/>
      <c r="G30" s="13" t="n"/>
      <c r="H30" s="13" t="n"/>
      <c r="I30" s="14">
        <f>SUM(D30:H30)</f>
        <v/>
      </c>
      <c r="J30" s="11">
        <f>IF(I30&gt;=80,"우수",IF(I30&gt;=70,"일반우수",""))</f>
        <v/>
      </c>
      <c r="K30" s="12" t="n"/>
    </row>
    <row r="31">
      <c r="A31" s="11" t="n">
        <v>29</v>
      </c>
      <c r="B31" s="12" t="n"/>
      <c r="C31" s="12" t="n"/>
      <c r="D31" s="13" t="n"/>
      <c r="E31" s="13" t="n"/>
      <c r="F31" s="13" t="n"/>
      <c r="G31" s="13" t="n"/>
      <c r="H31" s="13" t="n"/>
      <c r="I31" s="14">
        <f>SUM(D31:H31)</f>
        <v/>
      </c>
      <c r="J31" s="11">
        <f>IF(I31&gt;=80,"우수",IF(I31&gt;=70,"일반우수",""))</f>
        <v/>
      </c>
      <c r="K31" s="12" t="n"/>
    </row>
    <row r="32">
      <c r="A32" s="11" t="n">
        <v>30</v>
      </c>
      <c r="B32" s="12" t="n"/>
      <c r="C32" s="12" t="n"/>
      <c r="D32" s="13" t="n"/>
      <c r="E32" s="13" t="n"/>
      <c r="F32" s="13" t="n"/>
      <c r="G32" s="13" t="n"/>
      <c r="H32" s="13" t="n"/>
      <c r="I32" s="14">
        <f>SUM(D32:H32)</f>
        <v/>
      </c>
      <c r="J32" s="11">
        <f>IF(I32&gt;=80,"우수",IF(I32&gt;=70,"일반우수",""))</f>
        <v/>
      </c>
      <c r="K32" s="12" t="n"/>
    </row>
    <row r="35">
      <c r="A35" s="9" t="inlineStr">
        <is>
          <t>■ 집계</t>
        </is>
      </c>
    </row>
    <row r="36">
      <c r="A36" s="15" t="inlineStr">
        <is>
          <t>우수자 수 (80점 이상)</t>
        </is>
      </c>
      <c r="B36" s="12" t="n"/>
      <c r="C36" s="12" t="n"/>
      <c r="D36" s="14">
        <f>COUNTIF(J3:J32,"우수")</f>
        <v/>
      </c>
    </row>
    <row r="37">
      <c r="A37" s="15" t="inlineStr">
        <is>
          <t>일반우수 수 (70~79점)</t>
        </is>
      </c>
      <c r="B37" s="12" t="n"/>
      <c r="C37" s="12" t="n"/>
      <c r="D37" s="14">
        <f>COUNTIF(J3:J32,"일반우수")</f>
        <v/>
      </c>
    </row>
    <row r="38">
      <c r="A38" s="15" t="inlineStr">
        <is>
          <t>전체 평균</t>
        </is>
      </c>
      <c r="B38" s="12" t="n"/>
      <c r="C38" s="12" t="n"/>
      <c r="D38" s="14">
        <f>AVERAGE(I3:I32)</f>
        <v/>
      </c>
    </row>
    <row r="39">
      <c r="A39" s="15" t="inlineStr">
        <is>
          <t>최고 점수</t>
        </is>
      </c>
      <c r="B39" s="12" t="n"/>
      <c r="C39" s="12" t="n"/>
      <c r="D39" s="14">
        <f>MAX(I3:I32)</f>
        <v/>
      </c>
    </row>
  </sheetData>
  <mergeCells count="6">
    <mergeCell ref="A36:C36"/>
    <mergeCell ref="A37:C37"/>
    <mergeCell ref="A39:C39"/>
    <mergeCell ref="A35:C35"/>
    <mergeCell ref="A1:K1"/>
    <mergeCell ref="A38:C3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2026-05-26T11:05:45Z</dcterms:created>
  <dcterms:modified xmlns:dcterms="http://purl.org/dc/terms/" xmlns:xsi="http://www.w3.org/2001/XMLSchema-instance" xsi:type="dcterms:W3CDTF">2026-05-26T11:05:45Z</dcterms:modified>
</cp:coreProperties>
</file>