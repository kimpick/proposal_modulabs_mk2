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중소기업 인재양성 프리미엄\"/>
    </mc:Choice>
  </mc:AlternateContent>
  <xr:revisionPtr revIDLastSave="0" documentId="13_ncr:1_{C559C3FD-23A1-490D-B8BD-0D1EEA2DFF83}" xr6:coauthVersionLast="47" xr6:coauthVersionMax="47" xr10:uidLastSave="{00000000-0000-0000-0000-000000000000}"/>
  <bookViews>
    <workbookView xWindow="-120" yWindow="-120" windowWidth="29040" windowHeight="15720" firstSheet="1" activeTab="2" xr2:uid="{22AE59F1-9457-4FE5-8F24-257968A29E8D}"/>
  </bookViews>
  <sheets>
    <sheet name="1. 기관 정보" sheetId="2" r:id="rId1"/>
    <sheet name="2. 신청 훈련과정 정보" sheetId="1" r:id="rId2"/>
    <sheet name="3. 과정별 교과목 편성" sheetId="3" r:id="rId3"/>
    <sheet name="4. (변경신청 시 작성) 전후대조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D13" i="1"/>
  <c r="A14" i="1"/>
  <c r="D14" i="1"/>
  <c r="A15" i="1"/>
  <c r="D15" i="1"/>
  <c r="A16" i="1"/>
  <c r="D16" i="1"/>
  <c r="A17" i="1"/>
  <c r="D17" i="1"/>
  <c r="A18" i="1"/>
  <c r="D18" i="1"/>
  <c r="A19" i="1"/>
  <c r="D19" i="1"/>
  <c r="A20" i="1"/>
  <c r="D20" i="1"/>
  <c r="A21" i="1"/>
  <c r="D21" i="1"/>
  <c r="A22" i="1"/>
  <c r="D22" i="1"/>
  <c r="A23" i="1"/>
  <c r="D23" i="1"/>
  <c r="A24" i="1"/>
  <c r="D24" i="1"/>
  <c r="A25" i="1"/>
  <c r="D25" i="1"/>
  <c r="A26" i="1"/>
  <c r="D26" i="1"/>
  <c r="A27" i="1"/>
  <c r="D27" i="1"/>
  <c r="A28" i="1"/>
  <c r="D28" i="1"/>
  <c r="O12" i="1"/>
  <c r="O11" i="1"/>
  <c r="O10" i="1"/>
  <c r="O9" i="1"/>
  <c r="O8" i="1"/>
  <c r="D8" i="1"/>
  <c r="A8" i="1"/>
  <c r="D10" i="1" l="1"/>
  <c r="D11" i="1"/>
  <c r="D12" i="1"/>
  <c r="D9" i="1"/>
  <c r="A11" i="1"/>
  <c r="A12" i="1"/>
  <c r="A9" i="1"/>
  <c r="A10" i="1"/>
  <c r="A5" i="3"/>
  <c r="A16" i="3"/>
  <c r="A26" i="3"/>
  <c r="B26" i="3" l="1"/>
  <c r="B16" i="3"/>
  <c r="B5" i="3"/>
  <c r="B8" i="3" s="1"/>
  <c r="A36" i="3"/>
  <c r="A46" i="3"/>
  <c r="B36" i="3" l="1"/>
  <c r="B41" i="3" s="1"/>
  <c r="B46" i="3"/>
  <c r="B51" i="3" s="1"/>
  <c r="B31" i="3"/>
  <c r="B30" i="3"/>
  <c r="B29" i="3"/>
  <c r="B10" i="3"/>
  <c r="B21" i="3"/>
  <c r="B19" i="3"/>
  <c r="B20" i="3"/>
  <c r="B9" i="3"/>
  <c r="B39" i="3" l="1"/>
  <c r="B40" i="3"/>
  <c r="B49" i="3"/>
  <c r="B50" i="3"/>
</calcChain>
</file>

<file path=xl/sharedStrings.xml><?xml version="1.0" encoding="utf-8"?>
<sst xmlns="http://schemas.openxmlformats.org/spreadsheetml/2006/main" count="259" uniqueCount="147">
  <si>
    <t>대</t>
    <phoneticPr fontId="1" type="noConversion"/>
  </si>
  <si>
    <t>중</t>
    <phoneticPr fontId="1" type="noConversion"/>
  </si>
  <si>
    <t>소</t>
    <phoneticPr fontId="1" type="noConversion"/>
  </si>
  <si>
    <t>NCS 대분류명</t>
    <phoneticPr fontId="1" type="noConversion"/>
  </si>
  <si>
    <t>기관명</t>
    <phoneticPr fontId="1" type="noConversion"/>
  </si>
  <si>
    <t>사업자등록번호</t>
    <phoneticPr fontId="1" type="noConversion"/>
  </si>
  <si>
    <t>훈련과정명</t>
    <phoneticPr fontId="1" type="noConversion"/>
  </si>
  <si>
    <t>연번</t>
    <phoneticPr fontId="1" type="noConversion"/>
  </si>
  <si>
    <t>훈련기간
(일수)</t>
    <phoneticPr fontId="1" type="noConversion"/>
  </si>
  <si>
    <t>훈련 실시 장소</t>
    <phoneticPr fontId="1" type="noConversion"/>
  </si>
  <si>
    <t>시/도 단위</t>
    <phoneticPr fontId="1" type="noConversion"/>
  </si>
  <si>
    <t>훈련대상</t>
    <phoneticPr fontId="1" type="noConversion"/>
  </si>
  <si>
    <t>총 훈련비(원)</t>
    <phoneticPr fontId="1" type="noConversion"/>
  </si>
  <si>
    <t>담당자 연락처(H.P.)</t>
    <phoneticPr fontId="1" type="noConversion"/>
  </si>
  <si>
    <t>담당자 연락처(E-mail)</t>
    <phoneticPr fontId="1" type="noConversion"/>
  </si>
  <si>
    <t>담당자 연락처(☎)</t>
    <phoneticPr fontId="1" type="noConversion"/>
  </si>
  <si>
    <t>훈련기관 인증 여부
(직업능력심사평가원)</t>
    <phoneticPr fontId="1" type="noConversion"/>
  </si>
  <si>
    <t>비대면 실시간
운영 여부</t>
    <phoneticPr fontId="1" type="noConversion"/>
  </si>
  <si>
    <t>O</t>
  </si>
  <si>
    <t>훈련시간
(H)</t>
    <phoneticPr fontId="1" type="noConversion"/>
  </si>
  <si>
    <t>과정 유형</t>
    <phoneticPr fontId="1" type="noConversion"/>
  </si>
  <si>
    <t>AI융합형</t>
  </si>
  <si>
    <t>NCS 분류코드</t>
    <phoneticPr fontId="1" type="noConversion"/>
  </si>
  <si>
    <t>최근 3년 이내('23~'25) 
훈련과정 운영 이력</t>
    <phoneticPr fontId="1" type="noConversion"/>
  </si>
  <si>
    <t>훈련인원(명)
[예상 수요]</t>
    <phoneticPr fontId="1" type="noConversion"/>
  </si>
  <si>
    <t>훈련일정</t>
    <phoneticPr fontId="1" type="noConversion"/>
  </si>
  <si>
    <t>X</t>
  </si>
  <si>
    <t>훈련비 단가(원)</t>
    <phoneticPr fontId="1" type="noConversion"/>
  </si>
  <si>
    <t>훈련목표(목적 등)</t>
    <phoneticPr fontId="1" type="noConversion"/>
  </si>
  <si>
    <t>연번</t>
    <phoneticPr fontId="1" type="noConversion"/>
  </si>
  <si>
    <t>훈련과정명</t>
    <phoneticPr fontId="1" type="noConversion"/>
  </si>
  <si>
    <t>훈련기관명</t>
    <phoneticPr fontId="1" type="noConversion"/>
  </si>
  <si>
    <t>비대면 실시간 가능 여부</t>
    <phoneticPr fontId="1" type="noConversion"/>
  </si>
  <si>
    <t>훈련일정</t>
    <phoneticPr fontId="1" type="noConversion"/>
  </si>
  <si>
    <t>훈련시간(H)</t>
    <phoneticPr fontId="1" type="noConversion"/>
  </si>
  <si>
    <t>과정 소개(요약) 또는 
부가 안내</t>
    <phoneticPr fontId="1" type="noConversion"/>
  </si>
  <si>
    <t>01</t>
    <phoneticPr fontId="1" type="noConversion"/>
  </si>
  <si>
    <t>07</t>
    <phoneticPr fontId="1" type="noConversion"/>
  </si>
  <si>
    <t>정보통신</t>
  </si>
  <si>
    <t>훈련기관관리번호
(미발급 시 공란)</t>
    <phoneticPr fontId="1" type="noConversion"/>
  </si>
  <si>
    <r>
      <rPr>
        <b/>
        <sz val="15"/>
        <color rgb="FF0000CC"/>
        <rFont val="맑은 고딕"/>
        <family val="3"/>
        <charset val="129"/>
        <scheme val="minor"/>
      </rPr>
      <t xml:space="preserve">[작성시 참고사항]
</t>
    </r>
    <r>
      <rPr>
        <b/>
        <sz val="15"/>
        <rFont val="맑은 고딕"/>
        <family val="3"/>
        <charset val="129"/>
        <scheme val="minor"/>
      </rPr>
      <t>ㅇ 1번 시트(기관 정보), 2번 시트(신청 훈련과정 정보), 3번 시트(과정별 교과목 편성)을 모두 꼼꼼하게 작성
  - 각 시트별 참고사항을 필독, 참고 요망(시트별 자동입력값이 있으므로 수식 삭제 X)
ㅇ 신청서 내 작성정보가 누락되어 있거나 미기재되어 있을 경우 해당 과정은 심사대상에서 제외</t>
    </r>
    <r>
      <rPr>
        <b/>
        <sz val="15"/>
        <color theme="1"/>
        <rFont val="맑은 고딕"/>
        <family val="3"/>
        <charset val="129"/>
        <scheme val="minor"/>
      </rPr>
      <t xml:space="preserve">
ㅇ 시트별 참고사항은 필요한 자료 작성이 완료되었다면 삭제 후 제출 요망</t>
    </r>
    <phoneticPr fontId="1" type="noConversion"/>
  </si>
  <si>
    <r>
      <rPr>
        <b/>
        <sz val="13"/>
        <color rgb="FFFF0000"/>
        <rFont val="맑은 고딕"/>
        <family val="3"/>
        <charset val="129"/>
        <scheme val="minor"/>
      </rPr>
      <t xml:space="preserve">[작성방법(필독!)]
</t>
    </r>
    <r>
      <rPr>
        <b/>
        <sz val="11"/>
        <rFont val="맑은 고딕"/>
        <family val="3"/>
        <charset val="129"/>
        <scheme val="minor"/>
      </rPr>
      <t xml:space="preserve">0. 신청한 과정 수만큼 아래 표 양식을 복사하여 추가 입력, 과정 교과목이 8개를 초과할 경우 자체 추가하여 입력
</t>
    </r>
    <r>
      <rPr>
        <sz val="11"/>
        <rFont val="맑은 고딕"/>
        <family val="3"/>
        <charset val="129"/>
        <scheme val="minor"/>
      </rPr>
      <t>1. 연번 : 추가된 표 양식만큼 자동으로 입력되므로, 직접 인력 X</t>
    </r>
    <r>
      <rPr>
        <sz val="11"/>
        <color theme="1"/>
        <rFont val="맑은 고딕"/>
        <family val="2"/>
        <charset val="129"/>
        <scheme val="minor"/>
      </rPr>
      <t xml:space="preserve">
2. 훈련과정명 : 연번에 따라 2번 시트값이 자동으로 입력되므로, 직접 입력 X
3. 훈련목표 : 본 과정을 통한 목표, 목적에 대해 간략히 기재(HRD-Net 과정 신청 시 입력사항과 동일)</t>
    </r>
    <r>
      <rPr>
        <sz val="11"/>
        <color theme="1"/>
        <rFont val="맑은 고딕"/>
        <family val="3"/>
        <charset val="129"/>
        <scheme val="minor"/>
      </rPr>
      <t xml:space="preserve">
4. 훈련대상 : 특정 직군, 직급, 경력(연차) 등 기업/근로자가 과정 선택 시 참고할 수 있는 수준으로 기재
5. 훈련시간 : 연번에 따라 2번 시트값이 자동으로 입력되므로, 직접 입력 X
6. 비대면 실시간 가능 여부 : 연번에 따라 2번 시트값이 자동으로 입력되므로, 직접 입력 X
7. 훈련일정 : 연번에 따라 2번 시트값이 자동으로 입력되므로, 직접 입력 X
8. 과정 소개 또는 부가 안내 : 기업/근로자를 대상으로 한, 과정에 대한 간략한 소개 혹은 해당 시트 내 정보 외 추가 안내가 필요한 사항에 대해 기재
9. 교과목, 단원, 세부내용 : 과정 커리큘럼 등에 대해 기재(HRD-Net 과정 신청 시 입력사항과 동일)
10. 편성시간 : 교과목별 편성시간(시간단위 숫자만 입력)
11. 교강사 프로필 : 과정 심사 / 훈련생 안내 시 필요하다고 판단되는 프로필 기재(기재된 사항은 훈련기관에서 개인정보 동의를 득한 내용으로 간주, 확인 必), 셀 간 병합 가능
12. 시설장비교재 : 훈련에 소요되는 장비, 시설, 교재 등을 상세하게 기재(셀 간 병합 가능)</t>
    </r>
    <phoneticPr fontId="1" type="noConversion"/>
  </si>
  <si>
    <t>주소지</t>
    <phoneticPr fontId="1" type="noConversion"/>
  </si>
  <si>
    <t>문의처</t>
    <phoneticPr fontId="1" type="noConversion"/>
  </si>
  <si>
    <r>
      <rPr>
        <b/>
        <sz val="18"/>
        <color rgb="FFFF0000"/>
        <rFont val="맑은 고딕"/>
        <family val="3"/>
        <charset val="129"/>
        <scheme val="minor"/>
      </rPr>
      <t xml:space="preserve">[작성방법(필독!)]
</t>
    </r>
    <r>
      <rPr>
        <sz val="15"/>
        <color theme="1"/>
        <rFont val="맑은 고딕"/>
        <family val="3"/>
        <charset val="129"/>
        <scheme val="minor"/>
      </rPr>
      <t>0. 모든 항목을 반드시 작성해야 하며, 미기재 항목이 있을 경우 심사대상에서 제외, 훈련기관명은 1번 시트 값이 자동입력되므로 직접입력 X
1. NCS 분류코드 : 해당 과정에 가장 주요하거나 많은 비중을 차지하는 내용을 토대로 각 분류상 가장 부합하는 코드를 작성(훈련기관 자체 판단)
  - NCS대분류명 기재 시 데이터박스 목록으로 설정, 대분류 숫자는 대분류명 선택시 자동입력되므로 직접입력 X
2. 비대면 실시간 운영 여부 : 집체형태 외 비대면 실시간 형태 운영 희망 시 'O' 체크(집체 형태는 기본적으로 모두 가능하며, 비대면 실시간 형태는 승인 과정에 한해 가능)
3. 훈련인원 : 기관에서 예상하는 해당 과정의 연간 훈련 실시인원 추정치
4. 훈련비 단가 : 1인, 1회 기준 훈련비용
5. 총 훈련비 : 총 훈련인원 X 훈련비 단가
6. 훈련일정 : 회차별 개설 예정 시기를 월 단위로 모두 기재('0월' 형태로 기재하거나 "연중 상시" 등 근로자 대상 충분히 안내 가능한 내용으로 작성)
7. 훈련실시장소 : 시/도 단위 및 정확한 주소를 각각 입력, 여러 장소에서 실시할 경우 셀 한개에 모두 입력(셀 구분 시 누락될 수 있음)</t>
    </r>
    <phoneticPr fontId="1" type="noConversion"/>
  </si>
  <si>
    <t>주소
(정확한 주소를 상세히 기재)</t>
    <phoneticPr fontId="1" type="noConversion"/>
  </si>
  <si>
    <t>담당자 성명 및 직위</t>
    <phoneticPr fontId="1" type="noConversion"/>
  </si>
  <si>
    <t>훈련 참여 문의처 ☎
(기업 등 고객 응대)</t>
    <phoneticPr fontId="1" type="noConversion"/>
  </si>
  <si>
    <t>기관 로고(CI 등) 파일
별도 송부 요망</t>
    <phoneticPr fontId="1" type="noConversion"/>
  </si>
  <si>
    <t>과정 연번
(승인과정 풀 기준)</t>
    <phoneticPr fontId="1" type="noConversion"/>
  </si>
  <si>
    <t>비고</t>
    <phoneticPr fontId="1" type="noConversion"/>
  </si>
  <si>
    <t>변경 항목</t>
    <phoneticPr fontId="1" type="noConversion"/>
  </si>
  <si>
    <t>종 전</t>
    <phoneticPr fontId="1" type="noConversion"/>
  </si>
  <si>
    <t>변 경</t>
    <phoneticPr fontId="1" type="noConversion"/>
  </si>
  <si>
    <t>과정 연번
(금회 신청 기준)</t>
    <phoneticPr fontId="1" type="noConversion"/>
  </si>
  <si>
    <t>담당자 외 사업 안내 메일링을
희망하는 기관 담당자 연락처(E-mail)</t>
    <phoneticPr fontId="1" type="noConversion"/>
  </si>
  <si>
    <t>주요 훈련분야(NCS 대분류 기준)
[드롭박스 선택]</t>
    <phoneticPr fontId="1" type="noConversion"/>
  </si>
  <si>
    <t>주요 훈련방법
[드롭박스 선택]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</si>
  <si>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[작성방법(필독!)]
 </t>
    </r>
    <r>
      <rPr>
        <b/>
        <sz val="11"/>
        <color theme="1"/>
        <rFont val="맑은 고딕"/>
        <family val="3"/>
        <charset val="129"/>
        <scheme val="minor"/>
      </rPr>
      <t>(공통) 본 자료는 기승인과정에 대한 변경 신청과정을 대상으로한 추가자료이며, 2번 시트작성과 병행하여 작성/제출하여야 함</t>
    </r>
    <r>
      <rPr>
        <sz val="11"/>
        <color theme="1"/>
        <rFont val="맑은 고딕"/>
        <family val="2"/>
        <charset val="129"/>
        <scheme val="minor"/>
      </rPr>
      <t xml:space="preserve">
1. 연번: 해당 표 내 작성 순서에 따라 기입
2. 과정연번: 승인과정 풀(Pool) 자료 내 기관별 구분 과정연번 기입 / 본 자료 2번 시트에 입력한 해당과정 연번 기입
3. 변경 항목: 과정명 / 과정유형 / 비대면실시간 운영여부 / 교과편성 / 훈련시간 중 해당 항목 기입</t>
    </r>
    <r>
      <rPr>
        <sz val="11"/>
        <color theme="1"/>
        <rFont val="맑은 고딕"/>
        <family val="3"/>
        <charset val="129"/>
        <scheme val="minor"/>
      </rPr>
      <t xml:space="preserve">
   (훈련비, 훈련장소 등은 자율 운영 가능하며 훈련인원 제한 없음 -&gt; 변경 신청 대상 항목이 아님)</t>
    </r>
    <phoneticPr fontId="1" type="noConversion"/>
  </si>
  <si>
    <t>집체(대면)</t>
  </si>
  <si>
    <t>O</t>
    <phoneticPr fontId="1" type="noConversion"/>
  </si>
  <si>
    <t>김영광</t>
    <phoneticPr fontId="1" type="noConversion"/>
  </si>
  <si>
    <t>010-9193-3163</t>
    <phoneticPr fontId="1" type="noConversion"/>
  </si>
  <si>
    <t>yk.kim@modulabs.co.kr</t>
    <phoneticPr fontId="1" type="noConversion"/>
  </si>
  <si>
    <t>modu.biz@modulabs.co.kr</t>
    <phoneticPr fontId="1" type="noConversion"/>
  </si>
  <si>
    <t>010-7528-0184</t>
  </si>
  <si>
    <t>010-7528-0184</t>
    <phoneticPr fontId="1" type="noConversion"/>
  </si>
  <si>
    <t>모두의연구소</t>
    <phoneticPr fontId="1" type="noConversion"/>
  </si>
  <si>
    <t>517-88-00184</t>
    <phoneticPr fontId="1" type="noConversion"/>
  </si>
  <si>
    <t>서울특별시 강남구 강남대로 324 역삼디오슈페리움 2층</t>
    <phoneticPr fontId="1" type="noConversion"/>
  </si>
  <si>
    <t>정보통신</t>
    <phoneticPr fontId="1" type="noConversion"/>
  </si>
  <si>
    <t>클로드로 업무자동화 시작하기</t>
    <phoneticPr fontId="1" type="noConversion"/>
  </si>
  <si>
    <t>비개발자를 위한 에이전틱 코딩</t>
    <phoneticPr fontId="1" type="noConversion"/>
  </si>
  <si>
    <t xml:space="preserve"> 실무형 노코드 멀티 에이전트 과정 </t>
    <phoneticPr fontId="1" type="noConversion"/>
  </si>
  <si>
    <t>멀티 에이전트 개발을 위한 하네스 엔지니어링</t>
    <phoneticPr fontId="1" type="noConversion"/>
  </si>
  <si>
    <t>상업용 AI콘텐츠 제작 실전</t>
    <phoneticPr fontId="1" type="noConversion"/>
  </si>
  <si>
    <t>교과목</t>
  </si>
  <si>
    <t>단원(모듈)</t>
  </si>
  <si>
    <t>세부내용</t>
  </si>
  <si>
    <t>편성시간</t>
  </si>
  <si>
    <t>교강사 프로필(요약)</t>
  </si>
  <si>
    <t>시설, 장비, 교재</t>
  </si>
  <si>
    <t>Cowork &amp;
Skill 활용
업무 자동화</t>
  </si>
  <si>
    <t>2H</t>
  </si>
  <si>
    <t>3H</t>
  </si>
  <si>
    <t>Module 1.
AI 데스크톱 비서와
첫 만남
— Cowork 입문</t>
    <phoneticPr fontId="1" type="noConversion"/>
  </si>
  <si>
    <t>Module 2.
말로 시키는 업무 처리
— 실무 자동화 실전</t>
    <phoneticPr fontId="1" type="noConversion"/>
  </si>
  <si>
    <t>Module 3.
한 번 만들고 계속 쓴다
— Skill 설계와
스케줄 자동화</t>
    <phoneticPr fontId="1" type="noConversion"/>
  </si>
  <si>
    <t>Module 1.
두려움 없이 시작하기
— 설치부터 첫 결과물까지</t>
    <phoneticPr fontId="1" type="noConversion"/>
  </si>
  <si>
    <t>Module 2.
자연어로 업무 도구
만들기
— 내 일을 코드로 바꾸다</t>
    <phoneticPr fontId="1" type="noConversion"/>
  </si>
  <si>
    <t>Module 3.
나만의 AI 작업 환경
구축하기
— 한 번 만들고 계속 쓰다</t>
    <phoneticPr fontId="1" type="noConversion"/>
  </si>
  <si>
    <t>클로드 코드
제로베이스
실전</t>
    <phoneticPr fontId="1" type="noConversion"/>
  </si>
  <si>
    <t>• AI 업무 자동화 교육 경력 3년 이상
• 비개발자 대상 노코드 자동화 교육 경험
• Claude Cowork / Skill 실무 활용 경험
• 관련 분야: AI 리터러시, 업무 프로세스 혁신, DX 컨설팅 등</t>
    <phoneticPr fontId="1" type="noConversion"/>
  </si>
  <si>
    <t>• AI 도구 활용 교육 경력 3년 이상
• 비개발자 대상 코딩/자동화 교육 경험
• 클로드 코드 실무 활용 및 프로젝트 수행 경험
• 관련 분야: AI 리터러시, 업무 자동화, 테크 교육 등</t>
    <phoneticPr fontId="1" type="noConversion"/>
  </si>
  <si>
    <t>3H</t>
    <phoneticPr fontId="1" type="noConversion"/>
  </si>
  <si>
    <t>Cowork
하네스 엔지니어링
실전</t>
    <phoneticPr fontId="1" type="noConversion"/>
  </si>
  <si>
    <t>Module 2.
하네스 구축 실전
— Skill로 AI에게
일하는 법을 가르치다</t>
    <phoneticPr fontId="1" type="noConversion"/>
  </si>
  <si>
    <t>Module 3.
기수의 전략
— 스케줄 자동화와
팀 하네스 운영</t>
    <phoneticPr fontId="1" type="noConversion"/>
  </si>
  <si>
    <t>에이전틱 코딩
자동화 실전</t>
    <phoneticPr fontId="1" type="noConversion"/>
  </si>
  <si>
    <t>Module 1.
말을 알아야 다룬다
— AI 에이전트와
하네스 엔지니어링</t>
    <phoneticPr fontId="1" type="noConversion"/>
  </si>
  <si>
    <t>Module 2.
하네스 구축 실전
— 환경 설계와
에이전트 제어</t>
    <phoneticPr fontId="1" type="noConversion"/>
  </si>
  <si>
    <t>Module 3.
기수의 전략
— 멀티 에이전트
오케스트레이션</t>
    <phoneticPr fontId="1" type="noConversion"/>
  </si>
  <si>
    <t>• 소프트웨어 개발/자동화 경력 5년 이상
• AI 에이전트 기반 업무 자동화 프로젝트 수행 경험
• 하네스 엔지니어링 실무 적용 경험
• 관련 분야: 에이전틱 코딩, DevOps, AI 엔지니어링 등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</si>
  <si>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Cowork란 무엇인가: 채팅 vs Cowork의 결정적 차이</t>
    </r>
    <r>
      <rPr>
        <sz val="11"/>
        <color theme="1"/>
        <rFont val="맑은 고딕"/>
        <family val="3"/>
        <charset val="129"/>
        <scheme val="minor"/>
      </rPr>
      <t xml:space="preserve">
   - 질문에 답하는 AI → 직접 일하는 AI: 에이전트형 작업 모드 이해
   - 데스크톱 파일/폴더에 직접 접근해서 읽고, 정리하고, 만들어주는 구조
</t>
    </r>
    <r>
      <rPr>
        <b/>
        <sz val="11"/>
        <color theme="1"/>
        <rFont val="맑은 고딕"/>
        <family val="3"/>
        <charset val="129"/>
        <scheme val="minor"/>
      </rPr>
      <t>② 설치와 첫 실행</t>
    </r>
    <r>
      <rPr>
        <sz val="11"/>
        <color theme="1"/>
        <rFont val="맑은 고딕"/>
        <family val="3"/>
        <charset val="129"/>
        <scheme val="minor"/>
      </rPr>
      <t xml:space="preserve">
   - Claude Desktop 설치 → Cowork 탭 진입 → 작업 폴더 지정
   - 권한 설계의 중요성: 접근 폴더 범위, 승인 체크포인트, 삭제 전 확인
   - 커넥터 vs 브라우저 vs 화면 제어: Cowork의 3가지 실행 방식 이해
</t>
    </r>
    <r>
      <rPr>
        <b/>
        <sz val="11"/>
        <color theme="1"/>
        <rFont val="맑은 고딕"/>
        <family val="3"/>
        <charset val="129"/>
        <scheme val="minor"/>
      </rPr>
      <t>③ [실습] Cowork 설치 + Downloads 폴더 파일 유형별 자동 분류 체험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</si>
  <si>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문서·데이터 자동화</t>
    </r>
    <r>
      <rPr>
        <sz val="11"/>
        <color theme="1"/>
        <rFont val="맑은 고딕"/>
        <family val="3"/>
        <charset val="129"/>
        <scheme val="minor"/>
      </rPr>
      <t xml:space="preserve">
   - PDF 데이터 추출 → 엑셀 정리, 영수증 → 경비 보고서 자동 생성
   - 회의록 종합 → 월간 리포트 작성, 다국어 번역·포맷 변환
</t>
    </r>
    <r>
      <rPr>
        <b/>
        <sz val="11"/>
        <color theme="1"/>
        <rFont val="맑은 고딕"/>
        <family val="3"/>
        <charset val="129"/>
        <scheme val="minor"/>
      </rPr>
      <t>② 브라우저 연동과 커넥터 활용</t>
    </r>
    <r>
      <rPr>
        <sz val="11"/>
        <color theme="1"/>
        <rFont val="맑은 고딕"/>
        <family val="3"/>
        <charset val="129"/>
        <scheme val="minor"/>
      </rPr>
      <t xml:space="preserve">
   - Claude in Chrome 연결: 웹 리서치 → 스프레드시트 정리 자동화
   - 플러그인 마켓: 업무 분야별 플러그인 탐색과 설치
   - AI가 실수했을 때: 결과 검토, 되돌리기, 재지시 패턴
</t>
    </r>
    <r>
      <rPr>
        <b/>
        <sz val="11"/>
        <color theme="1"/>
        <rFont val="맑은 고딕"/>
        <family val="3"/>
        <charset val="129"/>
        <scheme val="minor"/>
      </rPr>
      <t>③ [실습] 실무 업무 1건 Cowork으로 자동화 (데이터 정리 or 리포트 생성)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</si>
  <si>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Skill이란: 반복 작업을 재사용 가능한 모듈로 저장하기</t>
    </r>
    <r>
      <rPr>
        <sz val="11"/>
        <color theme="1"/>
        <rFont val="맑은 고딕"/>
        <family val="3"/>
        <charset val="129"/>
        <scheme val="minor"/>
      </rPr>
      <t xml:space="preserve">
   - '수동 실행 → Skill 저장 → 스케줄 자동화' 3단계 핵심 흐름
   - 나만의 커스텀 Skill 설계: 작업 절차 문서화와 조건 분기 설정
</t>
    </r>
    <r>
      <rPr>
        <b/>
        <sz val="11"/>
        <color theme="1"/>
        <rFont val="맑은 고딕"/>
        <family val="3"/>
        <charset val="129"/>
        <scheme val="minor"/>
      </rPr>
      <t>② 예약 작업(Scheduled Tasks)으로 완전 자동화</t>
    </r>
    <r>
      <rPr>
        <sz val="11"/>
        <color theme="1"/>
        <rFont val="맑은 고딕"/>
        <family val="3"/>
        <charset val="129"/>
        <scheme val="minor"/>
      </rPr>
      <t xml:space="preserve">
   - 매일/매주 반복 실행 설정: 아침 업무 루틴 자동화 시나리오
   - Plugin Create: 우리 팀만의 커스텀 플러그인 제작 입문
   - 조직 내 확산 전략: 팀원과 Skill 공유, 업무 표준화
</t>
    </r>
    <r>
      <rPr>
        <b/>
        <sz val="11"/>
        <color theme="1"/>
        <rFont val="맑은 고딕"/>
        <family val="3"/>
        <charset val="129"/>
        <scheme val="minor"/>
      </rPr>
      <t>③ [실습] Skill 저장 → 스케줄 등록 → 나만의 자동화 루틴 완성 및 시연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</si>
  <si>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개발 환경 이해: 비개발자 눈높이로 보는 터미널·코드·파일 구조</t>
    </r>
    <r>
      <rPr>
        <sz val="11"/>
        <color theme="1"/>
        <rFont val="맑은 고딕"/>
        <family val="3"/>
        <charset val="129"/>
        <scheme val="minor"/>
      </rPr>
      <t xml:space="preserve">
   - '코딩'이 아니라 'AI에게 말로 시키는 것': 마인드셋 전환
   - 터미널 공포증 극복: 꼭 필요한 명령어 5개만 익히기
</t>
    </r>
    <r>
      <rPr>
        <b/>
        <sz val="11"/>
        <color theme="1"/>
        <rFont val="맑은 고딕"/>
        <family val="3"/>
        <charset val="129"/>
        <scheme val="minor"/>
      </rPr>
      <t>② 클로드 코드 설치와 첫 실행</t>
    </r>
    <r>
      <rPr>
        <sz val="11"/>
        <color theme="1"/>
        <rFont val="맑은 고딕"/>
        <family val="3"/>
        <charset val="129"/>
        <scheme val="minor"/>
      </rPr>
      <t xml:space="preserve">
   - Node.js 설치 → 클로드 코드 설치 → 인증까지 단계별 따라하기
   - 첫 대화: '안녕' 대신 '이 폴더에 있는 파일 목록 보여줘'로 시작하기
   - 권한 시스템 이해: 허용/거절 판단 기준 세우기
③ [실습] 클로드 코드 설치 완료 + 자연어로 간단한 웹페이지 1개 만들기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</si>
  <si>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업무 자동화 설계: 반복 업무를 자연어 명령으로 분해하기</t>
    </r>
    <r>
      <rPr>
        <sz val="11"/>
        <color theme="1"/>
        <rFont val="맑은 고딕"/>
        <family val="3"/>
        <charset val="129"/>
        <scheme val="minor"/>
      </rPr>
      <t xml:space="preserve">
   - 엑셀/CSV 데이터 정리·분석 자동화
   - 보고서 자동 생성, 파일 일괄 처리, 이메일 템플릿 등 실무 시나리오
</t>
    </r>
    <r>
      <rPr>
        <b/>
        <sz val="11"/>
        <color theme="1"/>
        <rFont val="맑은 고딕"/>
        <family val="3"/>
        <charset val="129"/>
        <scheme val="minor"/>
      </rPr>
      <t>② 에러와 친해지기: AI와 함께하는 문제 해결</t>
    </r>
    <r>
      <rPr>
        <sz val="11"/>
        <color theme="1"/>
        <rFont val="맑은 고딕"/>
        <family val="3"/>
        <charset val="129"/>
        <scheme val="minor"/>
      </rPr>
      <t xml:space="preserve">
   - 에러 메시지 읽는 법: 빨간 글씨가 나와도 당황하지 않기
   - '이거 왜 안 돼?'라고 물으면 클로드가 고쳐주는 디버깅 패턴
   - 되돌리기와 버전 관리: 실수해도 복구하는 안전장치
</t>
    </r>
    <r>
      <rPr>
        <b/>
        <sz val="11"/>
        <color theme="1"/>
        <rFont val="맑은 고딕"/>
        <family val="3"/>
        <charset val="129"/>
        <scheme val="minor"/>
      </rPr>
      <t>③ [실습] 내 실무 데이터로 자동화 스크립트 1개 완성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</si>
  <si>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CLAUDE.md 작성: 나만의 작업 규칙을 AI에게 기억시키기</t>
    </r>
    <r>
      <rPr>
        <sz val="11"/>
        <color theme="1"/>
        <rFont val="맑은 고딕"/>
        <family val="3"/>
        <charset val="129"/>
        <scheme val="minor"/>
      </rPr>
      <t xml:space="preserve">
   - '항상 한국어로 답해줘', '이 폴더 구조를 따라줘' 등 규칙 설계
   - 반복 지시 없이 일관된 결과물을 얻는 하네스 입문
</t>
    </r>
    <r>
      <rPr>
        <b/>
        <sz val="11"/>
        <color theme="1"/>
        <rFont val="맑은 고딕"/>
        <family val="3"/>
        <charset val="129"/>
        <scheme val="minor"/>
      </rPr>
      <t>② MCP 서버 연결: 외부 서비스와 AI 연동 맛보기</t>
    </r>
    <r>
      <rPr>
        <sz val="11"/>
        <color theme="1"/>
        <rFont val="맑은 고딕"/>
        <family val="3"/>
        <charset val="129"/>
        <scheme val="minor"/>
      </rPr>
      <t xml:space="preserve">
   - 파일시스템, 웹 검색 등 기본 MCP 도구 연결 실습
   - 비개발자도 가능한 플러그인 방식의 확장 전략
</t>
    </r>
    <r>
      <rPr>
        <b/>
        <sz val="11"/>
        <color theme="1"/>
        <rFont val="맑은 고딕"/>
        <family val="3"/>
        <charset val="129"/>
        <scheme val="minor"/>
      </rPr>
      <t>③ [실습] CLAUDE.md + MCP 설정 완료, 나만의 자동화 워크플로우 시연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</si>
  <si>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채팅 AI vs 에이전트 AI: 왜 Cowork에는 '하네스'가 필요한가</t>
    </r>
    <r>
      <rPr>
        <sz val="11"/>
        <color theme="1"/>
        <rFont val="맑은 고딕"/>
        <family val="3"/>
        <charset val="129"/>
        <scheme val="minor"/>
      </rPr>
      <t xml:space="preserve">
   - 질문에 답하는 AI → 직접 파일을 만지고 실행하는 AI의 본질적 차이
   - 하네스 엔지니어링 비유: 말(Cowork AI) / 하네스(규칙·권한·Skill) / 기수(나)
   - 하네스 없는 AI의 위험: 엉뚱한 파일 삭제, 작업 폭주, 결과물 불일치 사례
</t>
    </r>
    <r>
      <rPr>
        <b/>
        <sz val="11"/>
        <color theme="1"/>
        <rFont val="맑은 고딕"/>
        <family val="3"/>
        <charset val="129"/>
        <scheme val="minor"/>
      </rPr>
      <t>② Cowork 첫 실행과 '나의 첫 하네스' 설계</t>
    </r>
    <r>
      <rPr>
        <sz val="11"/>
        <color theme="1"/>
        <rFont val="맑은 고딕"/>
        <family val="3"/>
        <charset val="129"/>
        <scheme val="minor"/>
      </rPr>
      <t xml:space="preserve">
   - Claude Desktop 설치 → Cowork 탭 진입 → 작업 폴더 지정
   - 비개발자의 가드레일: 접근 폴더 범위, 승인 체크포인트, 삭제 전 확인 규칙
   - 커넥터 → 브라우저 → 화면 제어: 안전한 실행 방식 우선순위 이해
</t>
    </r>
    <r>
      <rPr>
        <b/>
        <sz val="11"/>
        <color theme="1"/>
        <rFont val="맑은 고딕"/>
        <family val="3"/>
        <charset val="129"/>
        <scheme val="minor"/>
      </rPr>
      <t>③ [실습] Cowork 설치 + 나의 첫 하네스(권한 경계·작업 규칙) 설계서 작성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</si>
  <si>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Skill = 비개발자의 하네스: 반복 작업을 재사용 가능한 규칙으로 저</t>
    </r>
    <r>
      <rPr>
        <sz val="11"/>
        <color theme="1"/>
        <rFont val="맑은 고딕"/>
        <family val="3"/>
        <charset val="129"/>
        <scheme val="minor"/>
      </rPr>
      <t xml:space="preserve">장
   - 개발자의 CLAUDE.md가 비개발자에게는 Skill인 이유
   - '수동 실행 → 결과 검토 → Skill 저장' 핵심 3단계 흐름
</t>
    </r>
    <r>
      <rPr>
        <b/>
        <sz val="11"/>
        <color theme="1"/>
        <rFont val="맑은 고딕"/>
        <family val="3"/>
        <charset val="129"/>
        <scheme val="minor"/>
      </rPr>
      <t>② 실무 자동화 시나리오 + 가드레일 설계</t>
    </r>
    <r>
      <rPr>
        <sz val="11"/>
        <color theme="1"/>
        <rFont val="맑은 고딕"/>
        <family val="3"/>
        <charset val="129"/>
        <scheme val="minor"/>
      </rPr>
      <t xml:space="preserve">
   - 문서 자동화: PDF 추출→엑셀, 영수증→경비 보고서, 회의록→월간 리포트
   - 가드레일 실전: '원본 파일 절대 수정 금지', '결과물은 반드시 OO 폴더에' 등
   - 피드백 루프: 결과 검토 → 재지시 → Skill 규칙 보완의 개선 사이클
</t>
    </r>
    <r>
      <rPr>
        <b/>
        <sz val="11"/>
        <color theme="1"/>
        <rFont val="맑은 고딕"/>
        <family val="3"/>
        <charset val="129"/>
        <scheme val="minor"/>
      </rPr>
      <t>③ [실습] 실무 업무 1건 Cowork 자동화 + 가드레일 포함 Skill로 저장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</si>
  <si>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멀티 에이전트 하네스 아키텍처</t>
    </r>
    <r>
      <rPr>
        <sz val="11"/>
        <color theme="1"/>
        <rFont val="맑은 고딕"/>
        <family val="3"/>
        <charset val="129"/>
        <scheme val="minor"/>
      </rPr>
      <t xml:space="preserve">
   - 역할 분담과 오케스트레이션: 구현·테스트·리뷰 에이전트 분리
   - 엔트로피 관리: 코드 부패 방지, 정리 에이전트 설계
</t>
    </r>
    <r>
      <rPr>
        <b/>
        <sz val="11"/>
        <color theme="1"/>
        <rFont val="맑은 고딕"/>
        <family val="3"/>
        <charset val="129"/>
        <scheme val="minor"/>
      </rPr>
      <t>② 조직 차원의 하네스 운영 전략</t>
    </r>
    <r>
      <rPr>
        <sz val="11"/>
        <color theme="1"/>
        <rFont val="맑은 고딕"/>
        <family val="3"/>
        <charset val="129"/>
        <scheme val="minor"/>
      </rPr>
      <t xml:space="preserve">
   - 팀 공유 하네스 구축: 표준 설정으로 LLM 활용 역량 상향 평준화
   - 에이전트 평가와 지속 개선 사이클: 품질 지표 측정 및 하네스 고도화
</t>
    </r>
    <r>
      <rPr>
        <b/>
        <sz val="11"/>
        <color theme="1"/>
        <rFont val="맑은 고딕"/>
        <family val="3"/>
        <charset val="129"/>
        <scheme val="minor"/>
      </rPr>
      <t>③ [실습] 멀티스텝 하네스 워크플로우 완성 및 팀 시연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</si>
  <si>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프로젝트 지시 문서 설계: CLAUDE.md / AGENTS.md 작성 실전</t>
    </r>
    <r>
      <rPr>
        <sz val="11"/>
        <color theme="1"/>
        <rFont val="맑은 고딕"/>
        <family val="3"/>
        <charset val="129"/>
        <scheme val="minor"/>
      </rPr>
      <t xml:space="preserve">
   - 프로젝트 구조, 코딩 규칙, 네이밍 컨벤션을 '진실의 원천'으로 문서화
   - 에이전트 스킬(SKILL.md) 설계: 반복 작업 절차를 모듈화
</t>
    </r>
    <r>
      <rPr>
        <b/>
        <sz val="11"/>
        <color theme="1"/>
        <rFont val="맑은 고딕"/>
        <family val="3"/>
        <charset val="129"/>
        <scheme val="minor"/>
      </rPr>
      <t>② 가드레일 &amp; 피드백 루프 구축</t>
    </r>
    <r>
      <rPr>
        <sz val="11"/>
        <color theme="1"/>
        <rFont val="맑은 고딕"/>
        <family val="3"/>
        <charset val="129"/>
        <scheme val="minor"/>
      </rPr>
      <t xml:space="preserve">
   - 커스텀 린터로 아키텍처 규칙 강제 + 에러 메시지에 수정 지침 주입
   - 프롬프트 → 코드 → 실행 → 검증 사이클 실습
</t>
    </r>
    <r>
      <rPr>
        <b/>
        <sz val="11"/>
        <color theme="1"/>
        <rFont val="맑은 고딕"/>
        <family val="3"/>
        <charset val="129"/>
        <scheme val="minor"/>
      </rPr>
      <t>③ [실습] 실무 자동화 1건: 하네스 환경 구축 → 에이전트 실행 → 결과 검증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</si>
  <si>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바이브 코딩 → 에이전틱 코딩: 패러다임 진화 맥락</t>
    </r>
    <r>
      <rPr>
        <sz val="11"/>
        <color theme="1"/>
        <rFont val="맑은 고딕"/>
        <family val="3"/>
        <charset val="129"/>
        <scheme val="minor"/>
      </rPr>
      <t xml:space="preserve">
   - 왜 프롬프트만으로는 부족한가: Context Drift와 에이전트 폭주 사례
   - 말(AI 모델) / 하네스(환경·제약) / 기수(인간 설계자) 비유 이해
</t>
    </r>
    <r>
      <rPr>
        <b/>
        <sz val="11"/>
        <color theme="1"/>
        <rFont val="맑은 고딕"/>
        <family val="3"/>
        <charset val="129"/>
        <scheme val="minor"/>
      </rPr>
      <t>② 하네스 엔지니어링 3대 핵심 구성 요소</t>
    </r>
    <r>
      <rPr>
        <sz val="11"/>
        <color theme="1"/>
        <rFont val="맑은 고딕"/>
        <family val="3"/>
        <charset val="129"/>
        <scheme val="minor"/>
      </rPr>
      <t xml:space="preserve">
   - 가드레일(Guardrail): 입출력 제어와 아키텍처 제약 설계
   - 피드백 루프(Feedback Loop): CI/CD, 린터, 구조 테스트 기반 자동 검증
   - 컨텍스트 엔지니어링: 에이전트에게 적시에 올바른 정보를 제공하는 설계
</t>
    </r>
    <r>
      <rPr>
        <b/>
        <sz val="11"/>
        <color theme="1"/>
        <rFont val="맑은 고딕"/>
        <family val="3"/>
        <charset val="129"/>
        <scheme val="minor"/>
      </rPr>
      <t>③ [실습] 내 업무 자동화를 위한 하네스 설계 명세서 작성</t>
    </r>
    <phoneticPr fontId="1" type="noConversion"/>
  </si>
  <si>
    <t>상업용
AI 콘텐츠
제작 실전</t>
  </si>
  <si>
    <t>Module 1.
AI 콘텐츠 컴플라이언스
&amp; 브랜드 프롬프트 설계</t>
    <phoneticPr fontId="1" type="noConversion"/>
  </si>
  <si>
    <t>Module 2.
프롬프트 매트릭스 기반
시안 생성 및 고도화</t>
    <phoneticPr fontId="1" type="noConversion"/>
  </si>
  <si>
    <t>Module 3.
브랜드 패키징 및
기술 자산화</t>
    <phoneticPr fontId="1" type="noConversion"/>
  </si>
  <si>
    <t>• 디지털 콘텐츠/크리에이티브 경력 5년 이상
• 생성형 AI 활용 상업 콘텐츠 제작 프로젝트 수행 경험
• 브랜드 캠페인 기획·운영 실무 경험
• 관련 분야: 콘텐츠 프로덕션, 크리에이티브 디렉션, AI 워크플로우 등</t>
    <phoneticPr fontId="1" type="noConversion"/>
  </si>
  <si>
    <t>Module 1.
말을 알아야 다룬다
— Cowork와
하네스의 이해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</si>
  <si>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AI 컴플라이언스 및 리스크 거버넌스</t>
    </r>
    <r>
      <rPr>
        <sz val="11"/>
        <color theme="1"/>
        <rFont val="맑은 고딕"/>
        <family val="3"/>
        <charset val="129"/>
        <scheme val="minor"/>
      </rPr>
      <t xml:space="preserve">
   - AI 저작권, 초상권 등 최신 법규 및 사례 분석
   - 기업별 고위험 시나리오 도출 및 대응 가이드
</t>
    </r>
    <r>
      <rPr>
        <b/>
        <sz val="11"/>
        <color theme="1"/>
        <rFont val="맑은 고딕"/>
        <family val="3"/>
        <charset val="129"/>
        <scheme val="minor"/>
      </rPr>
      <t>② 브랜드 가이드 기반 프롬프트 설계</t>
    </r>
    <r>
      <rPr>
        <sz val="11"/>
        <color theme="1"/>
        <rFont val="맑은 고딕"/>
        <family val="3"/>
        <charset val="129"/>
        <scheme val="minor"/>
      </rPr>
      <t xml:space="preserve">
   - 브랜드 고유의 페르소나 및 톤앤무드 데이터 학습
   - 시스템 프롬프트 설계: 품질 일관성 및 컴플라이언스 체크리스트 반영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</si>
  <si>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프롬프트 매트릭스 기반 시안 생성</t>
    </r>
    <r>
      <rPr>
        <sz val="11"/>
        <color theme="1"/>
        <rFont val="맑은 고딕"/>
        <family val="3"/>
        <charset val="129"/>
        <scheme val="minor"/>
      </rPr>
      <t xml:space="preserve">
   - 변수 조합(구도, 조명, 모델)을 통한 시안 대량 생성
   - 브랜드 적합성 검증을 통한 최적 시드(Seed) 선정
</t>
    </r>
    <r>
      <rPr>
        <b/>
        <sz val="11"/>
        <color theme="1"/>
        <rFont val="맑은 고딕"/>
        <family val="3"/>
        <charset val="129"/>
        <scheme val="minor"/>
      </rPr>
      <t>② AI 정밀 보정 및 고도화</t>
    </r>
    <r>
      <rPr>
        <sz val="11"/>
        <color theme="1"/>
        <rFont val="맑은 고딕"/>
        <family val="3"/>
        <charset val="129"/>
        <scheme val="minor"/>
      </rPr>
      <t xml:space="preserve">
   - 인페인팅을 통한 디테일(피팅, 신체 등) 교정
   - 상업용 색채 및 게시를 위한 업스케일링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</si>
  <si>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브랜드 패키징 및 최종 완성</t>
    </r>
    <r>
      <rPr>
        <sz val="11"/>
        <color theme="1"/>
        <rFont val="맑은 고딕"/>
        <family val="3"/>
        <charset val="129"/>
        <scheme val="minor"/>
      </rPr>
      <t xml:space="preserve">
   - 정교한 로고/텍스트 삽입 및 브랜드 컬러 매칭
   - 매체별(SNS, 커머스 등) 최적화 레이아웃 패키징
</t>
    </r>
    <r>
      <rPr>
        <b/>
        <sz val="11"/>
        <color theme="1"/>
        <rFont val="맑은 고딕"/>
        <family val="3"/>
        <charset val="129"/>
        <scheme val="minor"/>
      </rPr>
      <t>② 기술 자산화 및 아카이빙</t>
    </r>
    <r>
      <rPr>
        <sz val="11"/>
        <color theme="1"/>
        <rFont val="맑은 고딕"/>
        <family val="3"/>
        <charset val="129"/>
        <scheme val="minor"/>
      </rPr>
      <t xml:space="preserve">
   - 제작 과정의 기술적 레시피(Seed, 설정값) 기록
   - 재사용 가능한 프롬프트 라이브러리 구축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</si>
  <si>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① 스케줄 자동화: Skill로 완전 자동화</t>
    </r>
    <r>
      <rPr>
        <sz val="11"/>
        <color theme="1"/>
        <rFont val="맑은 고딕"/>
        <family val="3"/>
        <charset val="129"/>
        <scheme val="minor"/>
      </rPr>
      <t xml:space="preserve">
   - 예약 작업(Scheduled Tasks) 설정: 매일/매주 반복 실행
   - 아침 업무 루틴 자동화 시나리오: 이메일 확인→할 일 정리→리포트 생성
   - 플러그인 &amp; 커넥터로 하네스 확장: 외부 서비스 연동 맛보기
</t>
    </r>
    <r>
      <rPr>
        <b/>
        <sz val="11"/>
        <color theme="1"/>
        <rFont val="맑은 고딕"/>
        <family val="3"/>
        <charset val="129"/>
        <scheme val="minor"/>
      </rPr>
      <t>② 팀 하네스 운영 전략</t>
    </r>
    <r>
      <rPr>
        <sz val="11"/>
        <color theme="1"/>
        <rFont val="맑은 고딕"/>
        <family val="3"/>
        <charset val="129"/>
        <scheme val="minor"/>
      </rPr>
      <t xml:space="preserve">
   - 조직 Skill 라이브러리 구축: 팀원과 Skill 공유, 업무 표준화
   - 하네스 고도화 사이클: 사용 → 실패 분석 → 규칙 추가 → 재배포
   - 비개발자 기수로의 성장 로드맵: Cowork → Claude Code → 에이전틱 코딩
</t>
    </r>
    <r>
      <rPr>
        <b/>
        <sz val="11"/>
        <color theme="1"/>
        <rFont val="맑은 고딕"/>
        <family val="3"/>
        <charset val="129"/>
        <scheme val="minor"/>
      </rPr>
      <t>③ [실습] Skill + 스케줄 자동화 루틴 완성 및 팀 시연</t>
    </r>
    <phoneticPr fontId="1" type="noConversion"/>
  </si>
  <si>
    <t>Claude Cowork과 Skill을 활용하여 반복 업무를 자연어 명령만으로 자동화하고, 스케줄 기반 완전 자동화 루틴을 독립적으로 구축할 수 있다.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</si>
  <si>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대상 직무</t>
    </r>
    <r>
      <rPr>
        <sz val="11"/>
        <color theme="1"/>
        <rFont val="맑은 고딕"/>
        <family val="2"/>
        <charset val="129"/>
        <scheme val="minor"/>
      </rPr>
      <t xml:space="preserve">: 사무·경영지원, 기획, 총무, 인사, 마케팅 등 반복 문서 업무가 많은 직무
</t>
    </r>
    <r>
      <rPr>
        <b/>
        <sz val="11"/>
        <color theme="1"/>
        <rFont val="맑은 고딕"/>
        <family val="3"/>
        <charset val="129"/>
        <scheme val="minor"/>
      </rPr>
      <t>대상 수준</t>
    </r>
    <r>
      <rPr>
        <sz val="11"/>
        <color theme="1"/>
        <rFont val="맑은 고딕"/>
        <family val="2"/>
        <charset val="129"/>
        <scheme val="minor"/>
      </rPr>
      <t xml:space="preserve">:코딩 경험이 전혀 없는 비개발자
선수 지식: PC 기본 조작 가능, 별도 프로그래밍 지식 불요
</t>
    </r>
    <r>
      <rPr>
        <b/>
        <sz val="11"/>
        <color theme="1"/>
        <rFont val="맑은 고딕"/>
        <family val="3"/>
        <charset val="129"/>
        <scheme val="minor"/>
      </rPr>
      <t>권장 대상</t>
    </r>
    <r>
      <rPr>
        <sz val="11"/>
        <color theme="1"/>
        <rFont val="맑은 고딕"/>
        <family val="2"/>
        <charset val="129"/>
        <scheme val="minor"/>
      </rPr>
      <t xml:space="preserve">: 
· 엑셀 정리, 보고서 작성, 데이터 취합 등 반복 업무에 시간을 많이 쓰는 실무자
· AI 도구를 처음 접하지만 업무 효율화에 관심이 높은 중소기업 임직원
· ChatGPT 등 채팅형 AI는 써봤지만, 파일을 직접 다루는 에이전트형 AI는 처음인 분
</t>
    </r>
    <phoneticPr fontId="1" type="noConversion"/>
  </si>
  <si>
    <t>터미널과 클로드 코드를 활용하여 자연어 명령으로 업무 도구를 직접 만들고, CLAUDE.md와 MCP 서버를 설정하여 나만의 자동화 작업 환경을 구축할 수 있다.</t>
    <phoneticPr fontId="1" type="noConversion"/>
  </si>
  <si>
    <t>하네스 엔지니어링 프레임워크를 이해하고, Cowork 환경에서 가드레일과 Skill을 설계하여 AI 에이전트를 안전하고 체계적으로 운영할 수 있다.</t>
    <phoneticPr fontId="1" type="noConversion"/>
  </si>
  <si>
    <t>하네스 엔지니어링 프레임워크를 기반으로 CLAUDE.md, AGENTS.md, SKILL.md 등 하네스 환경을 구축하고, 멀티 에이전트 오케스트레이션을 설계·실행할 수 있다.</t>
    <phoneticPr fontId="1" type="noConversion"/>
  </si>
  <si>
    <t>AI 저작권·컴플라이언스를 준수하며 브랜드 일관성을 갖춘 상업용 AI 콘텐츠를 기획부터 완성·자산화까지 독립적으로 수행할 수 있다.</t>
    <phoneticPr fontId="1" type="noConversion"/>
  </si>
  <si>
    <t>"AI로 만든 이미지, 상업적으로 써도 될까요? "
AI 콘텐츠를 상업적으로 사용하려면, 단순히 "예쁜 이미지 생성"을 넘어 저작권 컴플라이언스, 브랜드 일관성, 상용 품질 보정이라는 세 가지 관문을 통과해야 합니다.
본 과정은 AI 이미지 생성 도구를 활용하여 상업적으로 사용 가능한 브랜드 콘텐츠를 기획·제작·자산화하는 전 과정을 실전으로 익히는 크리에이티브 실무 과정입니다.</t>
    <phoneticPr fontId="1" type="noConversion"/>
  </si>
  <si>
    <t>"프롬프트만으로는 한계입니다. 진짜 에이전틱 코딩은 하네스에서 시작됩니다."
바이브 코딩은 시작일 뿐, 실무에서는 Context Drift와 에이전트 폭주라는 현실적 문제에 직면합니다.
본 과정은 코딩 경험이 있는 개발자를 대상으로, 하네스 엔지니어링 프레임워크를 활용하여 AI 에이전트를 체계적으로 설계하고 멀티 에이전트 워크플로우까지 구축하는 실전 과정입니다.</t>
    <phoneticPr fontId="1" type="noConversion"/>
  </si>
  <si>
    <t xml:space="preserve">"AI가 말을 잘 안듣는 다면, 이제는 '설계'할 차례입니다."
프롬프트만으로 AI를 다루면 엉뚱한 파일 삭제, 결과물 불일치 같은 위험이 발생하지만, 하네스를 장착하면 AI가 정해진 범위 내에서 안전하게 일합니다.
본 과정은 Cowork 기반 AI 자동화를 경험한 분들이, 하네스 엔지니어링 프레임워크를 통해 AI를 체계적으로 설계하고 통제하는 역량을 키우는 비개발자 대상 중급 과정입니다.
</t>
    <phoneticPr fontId="1" type="noConversion"/>
  </si>
  <si>
    <t>"터미널 공포증 안녕"
본 과정은 코딩 경험이 전혀 없는 비개발자가 클로드 코드(Claude Code)를 활용해 자연어만으로 업무 도구를 직접 만들어보는 에이전틱 코딩 입문 과정입니다. 
이 과정을 마치면, '개발자 없이는 불가능했던 일'을 혼자서 해내는 자신감과 실무 역량을 갖추게 됩니다.</t>
    <phoneticPr fontId="1" type="noConversion"/>
  </si>
  <si>
    <t>"코딩 한 줄 없이, 말 한마디로 AI 비서를 만들어 보세요."
본 과정은 프로그래밍 경험이 전혀 없는 비개발자를 위해 설계된 AI 업무 자동화 입문 과정입니다. 
이 과정을 마치면, 채팅에 답만 하던 AI를 넘어 데스크톱 파일을 직접 읽고, 정리하고, 만들어주는 '일하는 AI'를 다룰 수 있게 됩니다.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</si>
  <si>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권장 대상</t>
    </r>
    <r>
      <rPr>
        <sz val="11"/>
        <color theme="1"/>
        <rFont val="맑은 고딕"/>
        <family val="2"/>
        <charset val="129"/>
        <scheme val="minor"/>
      </rPr>
      <t xml:space="preserve">: 
· 엑셀 정리, 보고서 작성, 데이터 취합 등 반복 업무에 시간을 많이 쓰는 실무자
· AI 도구를 처음 접하지만 업무 효율화에 관심이 높은 중소기업 임직원
· ChatGPT 등 채팅형 AI는 써봤지만, 파일을 직접 다루는 에이전트형 AI는 처음인 분
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</si>
  <si>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권장 대상</t>
    </r>
    <r>
      <rPr>
        <sz val="11"/>
        <color theme="1"/>
        <rFont val="맑은 고딕"/>
        <family val="2"/>
        <charset val="129"/>
        <scheme val="minor"/>
      </rPr>
      <t>: 
· Cowork(GUI 자동화)을 넘어 터미널 기반 자동화에 도전해 보고 싶은 분
· '코딩을 배우고 싶지만 시작이 두려운' 비개발자
· 엑셀 매크로 수준을 넘어, AI가 코드를 대신 짜주는 경험을 해보고 싶은 분
· 팀에 개발자가 없어 간단한 도구를 직접 만들어야 하는 중소기업 실무자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</si>
  <si>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권장 대상</t>
    </r>
    <r>
      <rPr>
        <sz val="11"/>
        <color theme="1"/>
        <rFont val="맑은 고딕"/>
        <family val="2"/>
        <charset val="129"/>
        <scheme val="minor"/>
      </rPr>
      <t>: 
· Cowork을 써봤지만, AI가 엉뚱한 결과를 낼 때 통제하기 어려웠던 경험이 있는 분
· AI 자동화를 개인뿐 아니라 팀/부서 단위로 확산시키고 싶은 중간 관리자
· 프롬프트만으로 AI를 다루는 한계를 느끼고, 체계적 설계 역량을 키우고 싶은 분
· 비개발자로서 멀티 에이전트 설계자로 성장하고 싶은 분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</si>
  <si>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권장 대상</t>
    </r>
    <r>
      <rPr>
        <sz val="11"/>
        <color theme="1"/>
        <rFont val="맑은 고딕"/>
        <family val="2"/>
        <charset val="129"/>
        <scheme val="minor"/>
      </rPr>
      <t>: 
· 클로드 코드 등 AI 코딩 도구를 이미 사용하고 있지만, 체계적 제어 방법론이 필요한 개발자
· AI 에이전트가 코드를 작성할 때 품질 관리와 아키텍처 일관성을 유지하고 싶은 테크 리드
· 멀티 에이전트 기반 개발 파이프라인 구축에 관심 있는 DevOps/AI 엔지니어
· 팀 전체 AI 활용 역량을 상향 평준화하고 싶은 기술 조직 관리자</t>
    </r>
    <phoneticPr fontId="1" type="noConversion"/>
  </si>
  <si>
    <t>연중 상시</t>
    <phoneticPr fontId="1" type="noConversion"/>
  </si>
  <si>
    <t>서울 경기 지역</t>
    <phoneticPr fontId="1" type="noConversion"/>
  </si>
  <si>
    <t>신청 기업 사업장에 찾아가는 훈련</t>
    <phoneticPr fontId="1" type="noConversion"/>
  </si>
  <si>
    <t xml:space="preserve">[교재] 자체 제작 교재
  · 강의별 트렌드 반영
  · 자체 제작 및 고도화
[도구] 클로드 Pro 이상, (Cowork,Skill) </t>
    <phoneticPr fontId="1" type="noConversion"/>
  </si>
  <si>
    <t>[교재] 자체 제작 교재
  · 강의별 트렌드 반영
  · 자체 제작 및 고도화
[도구] 클로드 Pro 이상, claude code, Node.js, 엑셀, MCP</t>
    <phoneticPr fontId="1" type="noConversion"/>
  </si>
  <si>
    <t>[교재] 자체 제작 교재
  · 강의별 트렌드 반영
  · 자체 제작 및 고도화
[도구] 클로드 Pro 이상, Cowork, Skill, Scheduled Tasks</t>
    <phoneticPr fontId="1" type="noConversion"/>
  </si>
  <si>
    <t xml:space="preserve">[교재] 자체 제작 교재
  · 강의별 트렌드 반영
  · 자체 제작 및 고도화
[도구] 클로드 Pro 이상, Claude code, Skill, </t>
    <phoneticPr fontId="1" type="noConversion"/>
  </si>
  <si>
    <t>[교재] 자체 제작 교재
  · 강의별 트렌드 반영
  · 자체 제작 및 고도화
[도구] Nanobanana, Midjourney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</si>
</sst>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color rgb="FF0000CC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15" fillId="0" borderId="14" xfId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0" fillId="0" borderId="35" xfId="0" applyBorder="1">
      <alignment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5" fillId="2" borderId="28" xfId="0" applyFont="1" applyFill="1" applyBorder="1" applyAlignment="1">
      <alignment vertical="center" wrapText="1"/>
    </xf>
    <xf numFmtId="0" fontId="0" fillId="2" borderId="29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2" fillId="3" borderId="35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6" fillId="2" borderId="42" xfId="0" applyFont="1" applyFill="1" applyBorder="1" applyAlignment="1">
      <alignment horizontal="left" vertical="center" wrapText="1"/>
    </xf>
    <xf numFmtId="0" fontId="6" fillId="2" borderId="4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>
      <alignment vertical="center"/>
    </xf>
    <xf numFmtId="0" fontId="0" fillId="0" borderId="0" xfId="0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15" xfId="0" applyBorder="1">
      <alignment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0" fillId="3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du.biz@modulabs.co.kr" TargetMode="External"/><Relationship Id="rId1" Type="http://schemas.openxmlformats.org/officeDocument/2006/relationships/hyperlink" Target="mailto:yk.kim@modulabs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56D6-91D5-49D8-B290-86261871FE5C}">
  <sheetPr>
    <tabColor rgb="FFFFFF00"/>
  </sheetPr>
  <dimension ref="A1:G15"/>
  <sheetViews>
    <sheetView zoomScale="85" zoomScaleNormal="85" workbookViewId="0">
      <selection activeCell="F11" sqref="F11"/>
    </sheetView>
  </sheetViews>
  <sheetFormatPr defaultRowHeight="16.5" x14ac:dyDescent="0.3"/>
  <cols>
    <col min="1" max="1" width="27" customWidth="1"/>
    <col min="2" max="2" width="33.75" customWidth="1"/>
    <col min="3" max="3" width="22" customWidth="1"/>
    <col min="4" max="4" width="24.625" customWidth="1"/>
    <col min="5" max="5" width="39" customWidth="1"/>
    <col min="6" max="6" width="24.125" customWidth="1"/>
    <col min="7" max="7" width="24.75" customWidth="1"/>
    <col min="8" max="11" width="16.625" customWidth="1"/>
    <col min="12" max="12" width="14.625" customWidth="1"/>
  </cols>
  <sheetData>
    <row r="1" spans="1:7" ht="21" thickBot="1" x14ac:dyDescent="0.35">
      <c r="A1" s="2"/>
    </row>
    <row r="2" spans="1:7" x14ac:dyDescent="0.3">
      <c r="A2" s="70" t="s">
        <v>40</v>
      </c>
      <c r="B2" s="71"/>
      <c r="C2" s="71"/>
      <c r="D2" s="71"/>
      <c r="E2" s="71"/>
      <c r="F2" s="71"/>
      <c r="G2" s="72"/>
    </row>
    <row r="3" spans="1:7" x14ac:dyDescent="0.3">
      <c r="A3" s="73"/>
      <c r="B3" s="74"/>
      <c r="C3" s="74"/>
      <c r="D3" s="74"/>
      <c r="E3" s="74"/>
      <c r="F3" s="74"/>
      <c r="G3" s="75"/>
    </row>
    <row r="4" spans="1:7" ht="95.25" customHeight="1" thickBot="1" x14ac:dyDescent="0.35">
      <c r="A4" s="76"/>
      <c r="B4" s="77"/>
      <c r="C4" s="77"/>
      <c r="D4" s="77"/>
      <c r="E4" s="77"/>
      <c r="F4" s="77"/>
      <c r="G4" s="78"/>
    </row>
    <row r="5" spans="1:7" ht="20.25" x14ac:dyDescent="0.3">
      <c r="A5" s="2"/>
    </row>
    <row r="6" spans="1:7" ht="21" thickBot="1" x14ac:dyDescent="0.35">
      <c r="A6" s="2"/>
    </row>
    <row r="7" spans="1:7" ht="45.75" customHeight="1" thickBot="1" x14ac:dyDescent="0.35">
      <c r="A7" s="20" t="s">
        <v>4</v>
      </c>
      <c r="B7" s="22" t="s">
        <v>45</v>
      </c>
      <c r="C7" s="21" t="s">
        <v>5</v>
      </c>
      <c r="D7" s="22" t="s">
        <v>39</v>
      </c>
      <c r="E7" s="22" t="s">
        <v>56</v>
      </c>
      <c r="F7" s="22" t="s">
        <v>57</v>
      </c>
      <c r="G7" s="23" t="s">
        <v>16</v>
      </c>
    </row>
    <row r="8" spans="1:7" ht="22.5" customHeight="1" thickTop="1" thickBot="1" x14ac:dyDescent="0.35">
      <c r="A8" s="10" t="s">
        <v>67</v>
      </c>
      <c r="B8" s="11" t="s">
        <v>69</v>
      </c>
      <c r="C8" s="11" t="s">
        <v>68</v>
      </c>
      <c r="D8" s="11">
        <v>202000579</v>
      </c>
      <c r="E8" s="11" t="s">
        <v>70</v>
      </c>
      <c r="F8" s="11" t="s">
        <v>59</v>
      </c>
      <c r="G8" s="12" t="s">
        <v>60</v>
      </c>
    </row>
    <row r="9" spans="1:7" ht="17.25" thickBot="1" x14ac:dyDescent="0.35"/>
    <row r="10" spans="1:7" ht="40.5" customHeight="1" thickBot="1" x14ac:dyDescent="0.35">
      <c r="A10" s="20" t="s">
        <v>46</v>
      </c>
      <c r="B10" s="21" t="s">
        <v>15</v>
      </c>
      <c r="C10" s="21" t="s">
        <v>13</v>
      </c>
      <c r="D10" s="21" t="s">
        <v>14</v>
      </c>
      <c r="E10" s="22" t="s">
        <v>55</v>
      </c>
      <c r="F10" s="22" t="s">
        <v>47</v>
      </c>
      <c r="G10" s="23" t="s">
        <v>48</v>
      </c>
    </row>
    <row r="11" spans="1:7" ht="22.5" customHeight="1" thickTop="1" thickBot="1" x14ac:dyDescent="0.35">
      <c r="A11" s="10" t="s">
        <v>61</v>
      </c>
      <c r="B11" s="11" t="s">
        <v>62</v>
      </c>
      <c r="C11" s="11" t="s">
        <v>62</v>
      </c>
      <c r="D11" s="37" t="s">
        <v>63</v>
      </c>
      <c r="E11" s="37" t="s">
        <v>64</v>
      </c>
      <c r="F11" s="11" t="s">
        <v>66</v>
      </c>
      <c r="G11" s="12" t="s">
        <v>60</v>
      </c>
    </row>
    <row r="12" spans="1:7" ht="20.25" x14ac:dyDescent="0.3">
      <c r="A12" s="2"/>
    </row>
    <row r="13" spans="1:7" ht="20.25" x14ac:dyDescent="0.3">
      <c r="A13" s="2"/>
    </row>
    <row r="14" spans="1:7" ht="20.25" x14ac:dyDescent="0.3">
      <c r="A14" s="2"/>
    </row>
    <row r="15" spans="1:7" ht="20.25" x14ac:dyDescent="0.3">
      <c r="A15" s="2"/>
    </row>
  </sheetData>
  <mergeCells count="1">
    <mergeCell ref="A2:G4"/>
  </mergeCells>
  <phoneticPr fontId="1" type="noConversion"/>
  <dataValidations count="2">
    <dataValidation type="list" allowBlank="1" showInputMessage="1" showErrorMessage="1" sqref="E8" xr:uid="{A28D384B-1F9C-4603-BE06-6393B930C3C9}">
      <formula1>"사업관리, 경영ㆍ회계ㆍ사무, 금융ㆍ보험, 교육ㆍ자연ㆍ사회과학, 법률ㆍ경찰ㆍ소방ㆍ교도ㆍ국방, 보건ㆍ의료, 사회복지ㆍ종교, 문화ㆍ예술ㆍ디자인ㆍ방송, 운전ㆍ운송, 영업판매, 경비ㆍ청소, 이용ㆍ숙박ㆍ여행ㆍ오락ㆍ스포츠, 음식서비스, 건설, 기계, 재료, 화학ㆍ바이오, 섬유ㆍ의복, 전기ㆍ전자, 정보통신, 식품가공, 인쇄ㆍ목재ㆍ 가구ㆍ공예, 환경ㆍ에너지ㆍ안전, 농림어업"</formula1>
    </dataValidation>
    <dataValidation type="list" allowBlank="1" showInputMessage="1" showErrorMessage="1" sqref="F8" xr:uid="{A10AD521-F60D-4F94-9CF7-2EE2CEF2E36D}">
      <formula1>"집체(대면), 비대면 실시간"</formula1>
    </dataValidation>
  </dataValidations>
  <hyperlinks>
    <hyperlink ref="D11" r:id="rId1" xr:uid="{E5BD4FB8-C2C2-482D-84CD-C40186442BB1}"/>
    <hyperlink ref="E11" r:id="rId2" xr:uid="{5FD42C4C-7529-4C41-8CAD-E453919366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56D1-2B9C-4DD4-A3C8-F960B0994A0C}">
  <sheetPr>
    <tabColor rgb="FF00B050"/>
  </sheetPr>
  <dimension ref="A1:S31"/>
  <sheetViews>
    <sheetView zoomScale="70" zoomScaleNormal="70" workbookViewId="0">
      <selection activeCell="S17" sqref="S17"/>
    </sheetView>
  </sheetViews>
  <sheetFormatPr defaultRowHeight="16.5" x14ac:dyDescent="0.3"/>
  <cols>
    <col min="1" max="1" width="20.25" customWidth="1"/>
    <col min="2" max="2" width="6.875" customWidth="1"/>
    <col min="3" max="3" width="17" customWidth="1"/>
    <col min="4" max="6" width="4.875" style="1" customWidth="1"/>
    <col min="7" max="7" width="14.625" style="1" customWidth="1"/>
    <col min="8" max="8" width="46.75" customWidth="1"/>
    <col min="9" max="9" width="12.875" customWidth="1"/>
    <col min="10" max="10" width="9.75" customWidth="1"/>
    <col min="11" max="11" width="8.75" customWidth="1"/>
    <col min="12" max="12" width="24.5" customWidth="1"/>
    <col min="13" max="13" width="13.125" customWidth="1"/>
    <col min="14" max="14" width="15.625" customWidth="1"/>
    <col min="15" max="15" width="17.875" customWidth="1"/>
    <col min="16" max="16" width="17.375" customWidth="1"/>
    <col min="17" max="17" width="14.375" customWidth="1"/>
    <col min="18" max="18" width="45.625" customWidth="1"/>
    <col min="19" max="19" width="16.25" customWidth="1"/>
  </cols>
  <sheetData>
    <row r="1" spans="1:19" x14ac:dyDescent="0.3">
      <c r="A1" s="81" t="s">
        <v>44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</row>
    <row r="2" spans="1:19" x14ac:dyDescent="0.3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9" ht="223.5" customHeight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5" spans="1:19" ht="17.25" thickBot="1" x14ac:dyDescent="0.35">
      <c r="K5" s="1"/>
      <c r="L5" s="1"/>
      <c r="M5" s="1"/>
    </row>
    <row r="6" spans="1:19" ht="24.95" customHeight="1" x14ac:dyDescent="0.3">
      <c r="A6" s="79" t="s">
        <v>31</v>
      </c>
      <c r="B6" s="102" t="s">
        <v>7</v>
      </c>
      <c r="C6" s="104" t="s">
        <v>3</v>
      </c>
      <c r="D6" s="95" t="s">
        <v>22</v>
      </c>
      <c r="E6" s="95"/>
      <c r="F6" s="95"/>
      <c r="G6" s="104" t="s">
        <v>20</v>
      </c>
      <c r="H6" s="95" t="s">
        <v>6</v>
      </c>
      <c r="I6" s="96" t="s">
        <v>17</v>
      </c>
      <c r="J6" s="98" t="s">
        <v>19</v>
      </c>
      <c r="K6" s="98" t="s">
        <v>8</v>
      </c>
      <c r="L6" s="98" t="s">
        <v>25</v>
      </c>
      <c r="M6" s="98" t="s">
        <v>24</v>
      </c>
      <c r="N6" s="93" t="s">
        <v>27</v>
      </c>
      <c r="O6" s="98" t="s">
        <v>12</v>
      </c>
      <c r="P6" s="96" t="s">
        <v>23</v>
      </c>
      <c r="Q6" s="90" t="s">
        <v>9</v>
      </c>
      <c r="R6" s="91"/>
      <c r="S6" s="92"/>
    </row>
    <row r="7" spans="1:19" ht="24.95" customHeight="1" thickBot="1" x14ac:dyDescent="0.35">
      <c r="A7" s="80"/>
      <c r="B7" s="103"/>
      <c r="C7" s="105"/>
      <c r="D7" s="24" t="s">
        <v>0</v>
      </c>
      <c r="E7" s="24" t="s">
        <v>1</v>
      </c>
      <c r="F7" s="24" t="s">
        <v>2</v>
      </c>
      <c r="G7" s="97"/>
      <c r="H7" s="94"/>
      <c r="I7" s="97"/>
      <c r="J7" s="100"/>
      <c r="K7" s="99"/>
      <c r="L7" s="100"/>
      <c r="M7" s="99"/>
      <c r="N7" s="94"/>
      <c r="O7" s="99"/>
      <c r="P7" s="101"/>
      <c r="Q7" s="25" t="s">
        <v>10</v>
      </c>
      <c r="R7" s="25" t="s">
        <v>42</v>
      </c>
      <c r="S7" s="26" t="s">
        <v>43</v>
      </c>
    </row>
    <row r="8" spans="1:19" ht="17.25" thickTop="1" x14ac:dyDescent="0.3">
      <c r="A8" s="13" t="str">
        <f>'1. 기관 정보'!$A$8</f>
        <v>모두의연구소</v>
      </c>
      <c r="B8" s="29">
        <v>1</v>
      </c>
      <c r="C8" s="6" t="s">
        <v>38</v>
      </c>
      <c r="D8" s="8" t="str">
        <f>_xlfn.IFS(C8="사업관리","01",C8="경영ㆍ회계ㆍ사무","02",C8="금융ㆍ보험","03",C8="교육ㆍ자연ㆍ사회과학","04",C8="법률ㆍ경찰ㆍ소방ㆍ교도ㆍ국방","05",C8="보건ㆍ의료","06",C8="사회복지ㆍ종교","07",C8="문화ㆍ예술ㆍ디자인ㆍ방송","08",C8="운전ㆍ운송","09",C8="영업판매","10",C8="경비ㆍ청소","11",C8="이용ㆍ숙박ㆍ여행ㆍ오락ㆍ스포츠","12", C8="음식서비스","13", C8="건설","14", C8="기계","15",C8="재료","16",C8="화학ㆍ바이오","17",C8="섬유ㆍ의복","18",C8="전기ㆍ전자","19",C8="정보통신","20",C8="식품가공","21",C8="인쇄ㆍ목재ㆍ가구ㆍ공예","22",C8="환경ㆍ에너지ㆍ안전","23",C8="농림어업","24")</f>
        <v>20</v>
      </c>
      <c r="E8" s="33" t="s">
        <v>36</v>
      </c>
      <c r="F8" s="33" t="s">
        <v>37</v>
      </c>
      <c r="G8" s="6" t="s">
        <v>21</v>
      </c>
      <c r="H8" s="6" t="s">
        <v>71</v>
      </c>
      <c r="I8" s="6" t="s">
        <v>26</v>
      </c>
      <c r="J8" s="6">
        <v>8</v>
      </c>
      <c r="K8" s="7">
        <v>1</v>
      </c>
      <c r="L8" s="7" t="s">
        <v>139</v>
      </c>
      <c r="M8" s="9">
        <v>80</v>
      </c>
      <c r="N8" s="7">
        <v>200000</v>
      </c>
      <c r="O8" s="9">
        <f>M8*N8</f>
        <v>16000000</v>
      </c>
      <c r="P8" s="16" t="s">
        <v>18</v>
      </c>
      <c r="Q8" s="16" t="s">
        <v>140</v>
      </c>
      <c r="R8" s="16" t="s">
        <v>141</v>
      </c>
      <c r="S8" s="38" t="s">
        <v>66</v>
      </c>
    </row>
    <row r="9" spans="1:19" x14ac:dyDescent="0.3">
      <c r="A9" s="13" t="str">
        <f>'1. 기관 정보'!$A$8</f>
        <v>모두의연구소</v>
      </c>
      <c r="B9" s="29">
        <v>2</v>
      </c>
      <c r="C9" s="6" t="s">
        <v>38</v>
      </c>
      <c r="D9" s="8" t="str">
        <f>_xlfn.IFS(C9="사업관리","01",C9="경영ㆍ회계ㆍ사무","02",C9="금융ㆍ보험","03",C9="교육ㆍ자연ㆍ사회과학","04",C9="법률ㆍ경찰ㆍ소방ㆍ교도ㆍ국방","05",C9="보건ㆍ의료","06",C9="사회복지ㆍ종교","07",C9="문화ㆍ예술ㆍ디자인ㆍ방송","08",C9="운전ㆍ운송","09",C9="영업판매","10",C9="경비ㆍ청소","11",C9="이용ㆍ숙박ㆍ여행ㆍ오락ㆍ스포츠","12", C9="음식서비스","13", C9="건설","14", C9="기계","15",C9="재료","16",C9="화학ㆍ바이오","17",C9="섬유ㆍ의복","18",C9="전기ㆍ전자","19",C9="정보통신","20",C9="식품가공","21",C9="인쇄ㆍ목재ㆍ가구ㆍ공예","22",C9="환경ㆍ에너지ㆍ안전","23",C9="농림어업","24")</f>
        <v>20</v>
      </c>
      <c r="E9" s="33" t="s">
        <v>36</v>
      </c>
      <c r="F9" s="33" t="s">
        <v>37</v>
      </c>
      <c r="G9" s="6" t="s">
        <v>21</v>
      </c>
      <c r="H9" s="6" t="s">
        <v>72</v>
      </c>
      <c r="I9" s="6" t="s">
        <v>26</v>
      </c>
      <c r="J9" s="6">
        <v>8</v>
      </c>
      <c r="K9" s="7">
        <v>1</v>
      </c>
      <c r="L9" s="7" t="s">
        <v>139</v>
      </c>
      <c r="M9" s="9">
        <v>60</v>
      </c>
      <c r="N9" s="7">
        <v>250000</v>
      </c>
      <c r="O9" s="9">
        <f>M9*N9</f>
        <v>15000000</v>
      </c>
      <c r="P9" s="16" t="s">
        <v>18</v>
      </c>
      <c r="Q9" s="16" t="s">
        <v>140</v>
      </c>
      <c r="R9" s="16" t="s">
        <v>141</v>
      </c>
      <c r="S9" s="14" t="s">
        <v>65</v>
      </c>
    </row>
    <row r="10" spans="1:19" x14ac:dyDescent="0.3">
      <c r="A10" s="13" t="str">
        <f>'1. 기관 정보'!$A$8</f>
        <v>모두의연구소</v>
      </c>
      <c r="B10" s="29">
        <v>3</v>
      </c>
      <c r="C10" s="6" t="s">
        <v>38</v>
      </c>
      <c r="D10" s="8" t="str">
        <f t="shared" ref="D10:D28" si="0">_xlfn.IFS(C10="사업관리","01",C10="경영ㆍ회계ㆍ사무","02",C10="금융ㆍ보험","03",C10="교육ㆍ자연ㆍ사회과학","04",C10="법률ㆍ경찰ㆍ소방ㆍ교도ㆍ국방","05",C10="보건ㆍ의료","06",C10="사회복지ㆍ종교","07",C10="문화ㆍ예술ㆍ디자인ㆍ방송","08",C10="운전ㆍ운송","09",C10="영업판매","10",C10="경비ㆍ청소","11",C10="이용ㆍ숙박ㆍ여행ㆍ오락ㆍ스포츠","12", C10="음식서비스","13", C10="건설","14", C10="기계","15",C10="재료","16",C10="화학ㆍ바이오","17",C10="섬유ㆍ의복","18",C10="전기ㆍ전자","19",C10="정보통신","20",C10="식품가공","21",C10="인쇄ㆍ목재ㆍ가구ㆍ공예","22",C10="환경ㆍ에너지ㆍ안전","23",C10="농림어업","24")</f>
        <v>20</v>
      </c>
      <c r="E10" s="33" t="s">
        <v>36</v>
      </c>
      <c r="F10" s="33" t="s">
        <v>37</v>
      </c>
      <c r="G10" s="6" t="s">
        <v>21</v>
      </c>
      <c r="H10" s="6" t="s">
        <v>73</v>
      </c>
      <c r="I10" s="6" t="s">
        <v>26</v>
      </c>
      <c r="J10" s="6">
        <v>8</v>
      </c>
      <c r="K10" s="7">
        <v>1</v>
      </c>
      <c r="L10" s="7" t="s">
        <v>139</v>
      </c>
      <c r="M10" s="9">
        <v>60</v>
      </c>
      <c r="N10" s="7">
        <v>250000</v>
      </c>
      <c r="O10" s="9">
        <f>M10*N10</f>
        <v>15000000</v>
      </c>
      <c r="P10" s="16" t="s">
        <v>18</v>
      </c>
      <c r="Q10" s="16" t="s">
        <v>140</v>
      </c>
      <c r="R10" s="16" t="s">
        <v>141</v>
      </c>
      <c r="S10" s="14" t="s">
        <v>65</v>
      </c>
    </row>
    <row r="11" spans="1:19" x14ac:dyDescent="0.3">
      <c r="A11" s="13" t="str">
        <f>'1. 기관 정보'!$A$8</f>
        <v>모두의연구소</v>
      </c>
      <c r="B11" s="32">
        <v>4</v>
      </c>
      <c r="C11" s="6" t="s">
        <v>38</v>
      </c>
      <c r="D11" s="8" t="str">
        <f t="shared" si="0"/>
        <v>20</v>
      </c>
      <c r="E11" s="33" t="s">
        <v>36</v>
      </c>
      <c r="F11" s="33" t="s">
        <v>37</v>
      </c>
      <c r="G11" s="6" t="s">
        <v>21</v>
      </c>
      <c r="H11" s="1" t="s">
        <v>74</v>
      </c>
      <c r="I11" s="6" t="s">
        <v>26</v>
      </c>
      <c r="J11" s="6">
        <v>8</v>
      </c>
      <c r="K11" s="7">
        <v>1</v>
      </c>
      <c r="L11" s="7" t="s">
        <v>139</v>
      </c>
      <c r="M11" s="9">
        <v>50</v>
      </c>
      <c r="N11" s="7">
        <v>300000</v>
      </c>
      <c r="O11" s="9">
        <f>M11*N11</f>
        <v>15000000</v>
      </c>
      <c r="P11" s="16" t="s">
        <v>18</v>
      </c>
      <c r="Q11" s="16" t="s">
        <v>140</v>
      </c>
      <c r="R11" s="16" t="s">
        <v>141</v>
      </c>
      <c r="S11" s="14" t="s">
        <v>65</v>
      </c>
    </row>
    <row r="12" spans="1:19" x14ac:dyDescent="0.3">
      <c r="A12" s="13" t="str">
        <f>'1. 기관 정보'!$A$8</f>
        <v>모두의연구소</v>
      </c>
      <c r="B12" s="29">
        <v>5</v>
      </c>
      <c r="C12" s="6" t="s">
        <v>38</v>
      </c>
      <c r="D12" s="8" t="str">
        <f t="shared" si="0"/>
        <v>20</v>
      </c>
      <c r="E12" s="33" t="s">
        <v>36</v>
      </c>
      <c r="F12" s="33" t="s">
        <v>37</v>
      </c>
      <c r="G12" s="6" t="s">
        <v>21</v>
      </c>
      <c r="H12" s="6" t="s">
        <v>75</v>
      </c>
      <c r="I12" s="6" t="s">
        <v>26</v>
      </c>
      <c r="J12" s="6">
        <v>8</v>
      </c>
      <c r="K12" s="7">
        <v>1</v>
      </c>
      <c r="L12" s="7" t="s">
        <v>139</v>
      </c>
      <c r="M12" s="9">
        <v>80</v>
      </c>
      <c r="N12" s="7">
        <v>200000</v>
      </c>
      <c r="O12" s="9">
        <f t="shared" ref="O12" si="1">M12*N12</f>
        <v>16000000</v>
      </c>
      <c r="P12" s="16" t="s">
        <v>18</v>
      </c>
      <c r="Q12" s="16" t="s">
        <v>140</v>
      </c>
      <c r="R12" s="16" t="s">
        <v>141</v>
      </c>
      <c r="S12" s="14" t="s">
        <v>65</v>
      </c>
    </row>
    <row r="13" spans="1:19" x14ac:dyDescent="0.3">
      <c r="A13" s="13" t="str">
        <f>'1. 기관 정보'!$A$8</f>
        <v>모두의연구소</v>
      </c>
      <c r="B13" s="32">
        <v>10</v>
      </c>
      <c r="C13" s="6"/>
      <c r="D13" s="8" t="e">
        <f t="shared" si="0"/>
        <v>#N/A</v>
      </c>
      <c r="E13" s="33"/>
      <c r="F13" s="33"/>
      <c r="G13" s="6"/>
      <c r="H13" s="6"/>
      <c r="I13" s="6"/>
      <c r="J13" s="6"/>
      <c r="K13" s="6"/>
      <c r="L13" s="6"/>
      <c r="M13" s="6"/>
      <c r="N13" s="6"/>
      <c r="O13" s="6"/>
      <c r="P13" s="17"/>
      <c r="Q13" s="17"/>
      <c r="R13" s="17"/>
      <c r="S13" s="15"/>
    </row>
    <row r="14" spans="1:19" x14ac:dyDescent="0.3">
      <c r="A14" s="13" t="str">
        <f>'1. 기관 정보'!$A$8</f>
        <v>모두의연구소</v>
      </c>
      <c r="B14" s="29">
        <v>11</v>
      </c>
      <c r="C14" s="6"/>
      <c r="D14" s="8" t="e">
        <f t="shared" si="0"/>
        <v>#N/A</v>
      </c>
      <c r="E14" s="33"/>
      <c r="F14" s="33"/>
      <c r="G14" s="6"/>
      <c r="H14" s="6"/>
      <c r="I14" s="6"/>
      <c r="J14" s="6"/>
      <c r="K14" s="6"/>
      <c r="L14" s="6"/>
      <c r="M14" s="6"/>
      <c r="N14" s="6"/>
      <c r="O14" s="6"/>
      <c r="P14" s="17"/>
      <c r="Q14" s="17"/>
      <c r="R14" s="17"/>
      <c r="S14" s="15"/>
    </row>
    <row r="15" spans="1:19" x14ac:dyDescent="0.3">
      <c r="A15" s="13" t="str">
        <f>'1. 기관 정보'!$A$8</f>
        <v>모두의연구소</v>
      </c>
      <c r="B15" s="29">
        <v>12</v>
      </c>
      <c r="C15" s="6"/>
      <c r="D15" s="8" t="e">
        <f t="shared" si="0"/>
        <v>#N/A</v>
      </c>
      <c r="E15" s="33"/>
      <c r="F15" s="33"/>
      <c r="G15" s="6"/>
      <c r="H15" s="6"/>
      <c r="I15" s="6"/>
      <c r="J15" s="6"/>
      <c r="K15" s="6"/>
      <c r="L15" s="6"/>
      <c r="M15" s="6"/>
      <c r="N15" s="6"/>
      <c r="O15" s="6"/>
      <c r="P15" s="17"/>
      <c r="Q15" s="17"/>
      <c r="R15" s="17"/>
      <c r="S15" s="15"/>
    </row>
    <row r="16" spans="1:19" x14ac:dyDescent="0.3">
      <c r="A16" s="13" t="str">
        <f>'1. 기관 정보'!$A$8</f>
        <v>모두의연구소</v>
      </c>
      <c r="B16" s="32">
        <v>13</v>
      </c>
      <c r="C16" s="6"/>
      <c r="D16" s="8" t="e">
        <f t="shared" si="0"/>
        <v>#N/A</v>
      </c>
      <c r="E16" s="33"/>
      <c r="F16" s="33"/>
      <c r="G16" s="6"/>
      <c r="H16" s="6"/>
      <c r="I16" s="6"/>
      <c r="J16" s="6"/>
      <c r="K16" s="6"/>
      <c r="L16" s="6"/>
      <c r="M16" s="6"/>
      <c r="N16" s="6"/>
      <c r="O16" s="6"/>
      <c r="P16" s="17"/>
      <c r="Q16" s="17"/>
      <c r="R16" s="17"/>
      <c r="S16" s="15"/>
    </row>
    <row r="17" spans="1:19" x14ac:dyDescent="0.3">
      <c r="A17" s="13" t="str">
        <f>'1. 기관 정보'!$A$8</f>
        <v>모두의연구소</v>
      </c>
      <c r="B17" s="29">
        <v>14</v>
      </c>
      <c r="C17" s="6"/>
      <c r="D17" s="8" t="e">
        <f t="shared" si="0"/>
        <v>#N/A</v>
      </c>
      <c r="E17" s="33"/>
      <c r="F17" s="33"/>
      <c r="G17" s="6"/>
      <c r="H17" s="6"/>
      <c r="I17" s="6"/>
      <c r="J17" s="6"/>
      <c r="K17" s="6"/>
      <c r="L17" s="6"/>
      <c r="M17" s="6"/>
      <c r="N17" s="6"/>
      <c r="O17" s="6"/>
      <c r="P17" s="17"/>
      <c r="Q17" s="17"/>
      <c r="R17" s="17"/>
      <c r="S17" s="15"/>
    </row>
    <row r="18" spans="1:19" x14ac:dyDescent="0.3">
      <c r="A18" s="13" t="str">
        <f>'1. 기관 정보'!$A$8</f>
        <v>모두의연구소</v>
      </c>
      <c r="B18" s="29">
        <v>15</v>
      </c>
      <c r="C18" s="6"/>
      <c r="D18" s="8" t="e">
        <f t="shared" si="0"/>
        <v>#N/A</v>
      </c>
      <c r="E18" s="33"/>
      <c r="F18" s="33"/>
      <c r="G18" s="6"/>
      <c r="H18" s="6"/>
      <c r="I18" s="6"/>
      <c r="J18" s="6"/>
      <c r="K18" s="6"/>
      <c r="L18" s="6"/>
      <c r="M18" s="6"/>
      <c r="N18" s="6"/>
      <c r="O18" s="6"/>
      <c r="P18" s="17"/>
      <c r="Q18" s="17"/>
      <c r="R18" s="17"/>
      <c r="S18" s="15"/>
    </row>
    <row r="19" spans="1:19" x14ac:dyDescent="0.3">
      <c r="A19" s="13" t="str">
        <f>'1. 기관 정보'!$A$8</f>
        <v>모두의연구소</v>
      </c>
      <c r="B19" s="32">
        <v>16</v>
      </c>
      <c r="C19" s="6"/>
      <c r="D19" s="8" t="e">
        <f t="shared" si="0"/>
        <v>#N/A</v>
      </c>
      <c r="E19" s="33"/>
      <c r="F19" s="33"/>
      <c r="G19" s="6"/>
      <c r="H19" s="6"/>
      <c r="I19" s="6"/>
      <c r="J19" s="6"/>
      <c r="K19" s="6"/>
      <c r="L19" s="6"/>
      <c r="M19" s="6"/>
      <c r="N19" s="6"/>
      <c r="O19" s="6"/>
      <c r="P19" s="17"/>
      <c r="Q19" s="17"/>
      <c r="R19" s="17"/>
      <c r="S19" s="15"/>
    </row>
    <row r="20" spans="1:19" x14ac:dyDescent="0.3">
      <c r="A20" s="13" t="str">
        <f>'1. 기관 정보'!$A$8</f>
        <v>모두의연구소</v>
      </c>
      <c r="B20" s="29">
        <v>17</v>
      </c>
      <c r="C20" s="6"/>
      <c r="D20" s="8" t="e">
        <f t="shared" si="0"/>
        <v>#N/A</v>
      </c>
      <c r="E20" s="33"/>
      <c r="F20" s="33"/>
      <c r="G20" s="6"/>
      <c r="H20" s="6"/>
      <c r="I20" s="6"/>
      <c r="J20" s="6"/>
      <c r="K20" s="6"/>
      <c r="L20" s="6"/>
      <c r="M20" s="6"/>
      <c r="N20" s="6"/>
      <c r="O20" s="6"/>
      <c r="P20" s="17"/>
      <c r="Q20" s="17"/>
      <c r="R20" s="17"/>
      <c r="S20" s="15"/>
    </row>
    <row r="21" spans="1:19" x14ac:dyDescent="0.3">
      <c r="A21" s="13" t="str">
        <f>'1. 기관 정보'!$A$8</f>
        <v>모두의연구소</v>
      </c>
      <c r="B21" s="29">
        <v>18</v>
      </c>
      <c r="C21" s="6"/>
      <c r="D21" s="8" t="e">
        <f t="shared" si="0"/>
        <v>#N/A</v>
      </c>
      <c r="E21" s="33"/>
      <c r="F21" s="33"/>
      <c r="G21" s="6"/>
      <c r="H21" s="6"/>
      <c r="I21" s="6"/>
      <c r="J21" s="6"/>
      <c r="K21" s="6"/>
      <c r="L21" s="6"/>
      <c r="M21" s="6"/>
      <c r="N21" s="6"/>
      <c r="O21" s="6"/>
      <c r="P21" s="17"/>
      <c r="Q21" s="17"/>
      <c r="R21" s="17"/>
      <c r="S21" s="15"/>
    </row>
    <row r="22" spans="1:19" x14ac:dyDescent="0.3">
      <c r="A22" s="13" t="str">
        <f>'1. 기관 정보'!$A$8</f>
        <v>모두의연구소</v>
      </c>
      <c r="B22" s="32">
        <v>19</v>
      </c>
      <c r="C22" s="6"/>
      <c r="D22" s="8" t="e">
        <f t="shared" si="0"/>
        <v>#N/A</v>
      </c>
      <c r="E22" s="33"/>
      <c r="F22" s="33"/>
      <c r="G22" s="6"/>
      <c r="H22" s="6"/>
      <c r="I22" s="6"/>
      <c r="J22" s="6"/>
      <c r="K22" s="6"/>
      <c r="L22" s="6"/>
      <c r="M22" s="6"/>
      <c r="N22" s="6"/>
      <c r="O22" s="6"/>
      <c r="P22" s="17"/>
      <c r="Q22" s="17"/>
      <c r="R22" s="17"/>
      <c r="S22" s="15"/>
    </row>
    <row r="23" spans="1:19" x14ac:dyDescent="0.3">
      <c r="A23" s="13" t="str">
        <f>'1. 기관 정보'!$A$8</f>
        <v>모두의연구소</v>
      </c>
      <c r="B23" s="29">
        <v>20</v>
      </c>
      <c r="C23" s="6"/>
      <c r="D23" s="8" t="e">
        <f t="shared" si="0"/>
        <v>#N/A</v>
      </c>
      <c r="E23" s="33"/>
      <c r="F23" s="33"/>
      <c r="G23" s="6"/>
      <c r="H23" s="6"/>
      <c r="I23" s="6"/>
      <c r="J23" s="6"/>
      <c r="K23" s="6"/>
      <c r="L23" s="6"/>
      <c r="M23" s="6"/>
      <c r="N23" s="6"/>
      <c r="O23" s="6"/>
      <c r="P23" s="17"/>
      <c r="Q23" s="17"/>
      <c r="R23" s="17"/>
      <c r="S23" s="15"/>
    </row>
    <row r="24" spans="1:19" x14ac:dyDescent="0.3">
      <c r="A24" s="13" t="str">
        <f>'1. 기관 정보'!$A$8</f>
        <v>모두의연구소</v>
      </c>
      <c r="B24" s="29">
        <v>21</v>
      </c>
      <c r="C24" s="6"/>
      <c r="D24" s="8" t="e">
        <f t="shared" si="0"/>
        <v>#N/A</v>
      </c>
      <c r="E24" s="33"/>
      <c r="F24" s="33"/>
      <c r="G24" s="6"/>
      <c r="H24" s="6"/>
      <c r="I24" s="6"/>
      <c r="J24" s="6"/>
      <c r="K24" s="6"/>
      <c r="L24" s="6"/>
      <c r="M24" s="6"/>
      <c r="N24" s="6"/>
      <c r="O24" s="6"/>
      <c r="P24" s="17"/>
      <c r="Q24" s="17"/>
      <c r="R24" s="17"/>
      <c r="S24" s="15"/>
    </row>
    <row r="25" spans="1:19" x14ac:dyDescent="0.3">
      <c r="A25" s="13" t="str">
        <f>'1. 기관 정보'!$A$8</f>
        <v>모두의연구소</v>
      </c>
      <c r="B25" s="32">
        <v>22</v>
      </c>
      <c r="C25" s="6"/>
      <c r="D25" s="8" t="e">
        <f t="shared" si="0"/>
        <v>#N/A</v>
      </c>
      <c r="E25" s="33"/>
      <c r="F25" s="33"/>
      <c r="G25" s="6"/>
      <c r="H25" s="6"/>
      <c r="I25" s="6"/>
      <c r="J25" s="6"/>
      <c r="K25" s="6"/>
      <c r="L25" s="6"/>
      <c r="M25" s="6"/>
      <c r="N25" s="6"/>
      <c r="O25" s="6"/>
      <c r="P25" s="17"/>
      <c r="Q25" s="17"/>
      <c r="R25" s="17"/>
      <c r="S25" s="15"/>
    </row>
    <row r="26" spans="1:19" x14ac:dyDescent="0.3">
      <c r="A26" s="13" t="str">
        <f>'1. 기관 정보'!$A$8</f>
        <v>모두의연구소</v>
      </c>
      <c r="B26" s="29">
        <v>23</v>
      </c>
      <c r="C26" s="6"/>
      <c r="D26" s="8" t="e">
        <f t="shared" si="0"/>
        <v>#N/A</v>
      </c>
      <c r="E26" s="33"/>
      <c r="F26" s="33"/>
      <c r="G26" s="6"/>
      <c r="H26" s="6"/>
      <c r="I26" s="6"/>
      <c r="J26" s="6"/>
      <c r="K26" s="6"/>
      <c r="L26" s="6"/>
      <c r="M26" s="6"/>
      <c r="N26" s="6"/>
      <c r="O26" s="6"/>
      <c r="P26" s="17"/>
      <c r="Q26" s="17"/>
      <c r="R26" s="17"/>
      <c r="S26" s="15"/>
    </row>
    <row r="27" spans="1:19" x14ac:dyDescent="0.3">
      <c r="A27" s="13" t="str">
        <f>'1. 기관 정보'!$A$8</f>
        <v>모두의연구소</v>
      </c>
      <c r="B27" s="29">
        <v>24</v>
      </c>
      <c r="C27" s="6"/>
      <c r="D27" s="8" t="e">
        <f t="shared" si="0"/>
        <v>#N/A</v>
      </c>
      <c r="E27" s="33"/>
      <c r="F27" s="33"/>
      <c r="G27" s="6"/>
      <c r="H27" s="6"/>
      <c r="I27" s="6"/>
      <c r="J27" s="6"/>
      <c r="K27" s="6"/>
      <c r="L27" s="6"/>
      <c r="M27" s="6"/>
      <c r="N27" s="6"/>
      <c r="O27" s="6"/>
      <c r="P27" s="17"/>
      <c r="Q27" s="17"/>
      <c r="R27" s="17"/>
      <c r="S27" s="15"/>
    </row>
    <row r="28" spans="1:19" ht="17.25" thickBot="1" x14ac:dyDescent="0.35">
      <c r="A28" s="3" t="str">
        <f>'1. 기관 정보'!$A$8</f>
        <v>모두의연구소</v>
      </c>
      <c r="B28" s="35">
        <v>25</v>
      </c>
      <c r="C28" s="4"/>
      <c r="D28" s="4" t="e">
        <f t="shared" si="0"/>
        <v>#N/A</v>
      </c>
      <c r="E28" s="34"/>
      <c r="F28" s="34"/>
      <c r="G28" s="4"/>
      <c r="H28" s="4"/>
      <c r="I28" s="4"/>
      <c r="J28" s="4"/>
      <c r="K28" s="4"/>
      <c r="L28" s="4"/>
      <c r="M28" s="4"/>
      <c r="N28" s="4"/>
      <c r="O28" s="4"/>
      <c r="P28" s="18"/>
      <c r="Q28" s="18"/>
      <c r="R28" s="18"/>
      <c r="S28" s="5"/>
    </row>
    <row r="31" spans="1:19" ht="253.5" customHeight="1" x14ac:dyDescent="0.3"/>
  </sheetData>
  <mergeCells count="16">
    <mergeCell ref="A6:A7"/>
    <mergeCell ref="A1:O3"/>
    <mergeCell ref="Q6:S6"/>
    <mergeCell ref="N6:N7"/>
    <mergeCell ref="D6:F6"/>
    <mergeCell ref="I6:I7"/>
    <mergeCell ref="H6:H7"/>
    <mergeCell ref="M6:M7"/>
    <mergeCell ref="O6:O7"/>
    <mergeCell ref="L6:L7"/>
    <mergeCell ref="P6:P7"/>
    <mergeCell ref="B6:B7"/>
    <mergeCell ref="K6:K7"/>
    <mergeCell ref="C6:C7"/>
    <mergeCell ref="J6:J7"/>
    <mergeCell ref="G6:G7"/>
  </mergeCells>
  <phoneticPr fontId="1" type="noConversion"/>
  <dataValidations count="4">
    <dataValidation allowBlank="1" showInputMessage="1" showErrorMessage="1" promptTitle="목록" sqref="G6:G7" xr:uid="{28FE1F64-6F43-46B7-AF1D-9E166DD5BEE2}"/>
    <dataValidation type="list" allowBlank="1" showInputMessage="1" showErrorMessage="1" sqref="I8:I28 P8:P28" xr:uid="{25155D28-8A87-4A4D-B123-B5053398842E}">
      <formula1>"O, X"</formula1>
    </dataValidation>
    <dataValidation type="list" allowBlank="1" showInputMessage="1" showErrorMessage="1" sqref="G8:G28" xr:uid="{8CB37AFE-0FBD-47CF-9BA1-3D2642116CC5}">
      <formula1>"일반형, AI융합형"</formula1>
    </dataValidation>
    <dataValidation type="list" allowBlank="1" showInputMessage="1" showErrorMessage="1" sqref="C8:C28" xr:uid="{3BB353FD-C18C-4DFE-A3CB-0EDEB596DA3C}">
      <formula1>"사업관리, 경영ㆍ회계ㆍ사무, 금융ㆍ보험, 교육ㆍ자연ㆍ사회과학, 법률ㆍ경찰ㆍ소방ㆍ교도ㆍ국방, 보건ㆍ의료, 사회복지ㆍ종교, 문화ㆍ예술ㆍ디자인ㆍ방송, 운전ㆍ운송, 영업판매, 경비ㆍ청소, 이용ㆍ숙박ㆍ여행ㆍ오락ㆍ스포츠, 음식서비스, 건설, 기계, 재료, 화학ㆍ바이오, 섬유ㆍ의복, 전기ㆍ전자, 정보통신, 식품가공, 인쇄ㆍ목재ㆍ 가구ㆍ공예, 환경ㆍ에너지ㆍ안전, 농림어업"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41BD-6501-420E-BE11-C9CB9EFEE3F9}">
  <sheetPr>
    <tabColor rgb="FF00B0F0"/>
  </sheetPr>
  <dimension ref="A1:I53"/>
  <sheetViews>
    <sheetView tabSelected="1" topLeftCell="A42" zoomScale="55" zoomScaleNormal="55" workbookViewId="0">
      <selection activeCell="L49" sqref="L49"/>
    </sheetView>
  </sheetViews>
  <sheetFormatPr defaultRowHeight="16.5" x14ac:dyDescent="0.3"/>
  <cols>
    <col min="1" max="1" width="22" customWidth="1"/>
    <col min="2" max="2" width="40.75" customWidth="1"/>
    <col min="3" max="3" width="2.125" customWidth="1"/>
    <col min="4" max="4" width="32.25" customWidth="1"/>
    <col min="5" max="5" width="44.625" customWidth="1"/>
    <col min="6" max="6" width="61.375" customWidth="1"/>
    <col min="7" max="7" width="9.25" bestFit="1" customWidth="1"/>
    <col min="8" max="8" width="25.875" customWidth="1"/>
    <col min="9" max="9" width="30.875" customWidth="1"/>
  </cols>
  <sheetData>
    <row r="1" spans="1:9" ht="17.25" thickBot="1" x14ac:dyDescent="0.35"/>
    <row r="2" spans="1:9" ht="265.5" customHeight="1" thickBot="1" x14ac:dyDescent="0.35">
      <c r="A2" s="61" t="s">
        <v>41</v>
      </c>
      <c r="B2" s="62"/>
      <c r="C2" s="62"/>
      <c r="D2" s="62"/>
      <c r="E2" s="63"/>
      <c r="F2" s="63"/>
      <c r="G2" s="63"/>
      <c r="H2" s="63"/>
      <c r="I2" s="64"/>
    </row>
    <row r="4" spans="1:9" ht="17.25" thickBot="1" x14ac:dyDescent="0.35">
      <c r="A4" s="28" t="s">
        <v>29</v>
      </c>
      <c r="B4" s="28" t="s">
        <v>30</v>
      </c>
      <c r="D4" s="28" t="s">
        <v>76</v>
      </c>
      <c r="E4" s="28" t="s">
        <v>77</v>
      </c>
      <c r="F4" s="28" t="s">
        <v>78</v>
      </c>
      <c r="G4" s="28" t="s">
        <v>79</v>
      </c>
      <c r="H4" s="28" t="s">
        <v>80</v>
      </c>
      <c r="I4" s="28" t="s">
        <v>81</v>
      </c>
    </row>
    <row r="5" spans="1:9" ht="182.25" thickTop="1" x14ac:dyDescent="0.3">
      <c r="A5" s="27">
        <f ca="1">COUNTIF(INDIRECT("$A$3:A" &amp; ROW()-1), "연번")</f>
        <v>1</v>
      </c>
      <c r="B5" s="27" t="str">
        <f ca="1">VLOOKUP(A5,'2. 신청 훈련과정 정보'!$B$8:$H$1048576,7,0)</f>
        <v>클로드로 업무자동화 시작하기</v>
      </c>
      <c r="D5" s="51" t="s">
        <v>82</v>
      </c>
      <c r="E5" s="39" t="s">
        <v>85</v>
      </c>
      <c r="F5" s="41" t="s">
        <v>103</v>
      </c>
      <c r="G5" s="31" t="s">
        <v>83</v>
      </c>
      <c r="H5" s="45" t="s">
        <v>92</v>
      </c>
      <c r="I5" s="48" t="s">
        <v>142</v>
      </c>
    </row>
    <row r="6" spans="1:9" ht="181.5" x14ac:dyDescent="0.3">
      <c r="A6" s="30" t="s">
        <v>28</v>
      </c>
      <c r="B6" s="43" t="s">
        <v>124</v>
      </c>
      <c r="D6" s="52"/>
      <c r="E6" s="40" t="s">
        <v>86</v>
      </c>
      <c r="F6" s="42" t="s">
        <v>104</v>
      </c>
      <c r="G6" s="19" t="s">
        <v>84</v>
      </c>
      <c r="H6" s="46"/>
      <c r="I6" s="49"/>
    </row>
    <row r="7" spans="1:9" ht="165" x14ac:dyDescent="0.3">
      <c r="A7" s="30" t="s">
        <v>11</v>
      </c>
      <c r="B7" s="44" t="s">
        <v>135</v>
      </c>
      <c r="D7" s="53"/>
      <c r="E7" s="40" t="s">
        <v>87</v>
      </c>
      <c r="F7" s="42" t="s">
        <v>105</v>
      </c>
      <c r="G7" s="19" t="s">
        <v>84</v>
      </c>
      <c r="H7" s="47"/>
      <c r="I7" s="50"/>
    </row>
    <row r="8" spans="1:9" x14ac:dyDescent="0.3">
      <c r="A8" s="30" t="s">
        <v>34</v>
      </c>
      <c r="B8" s="29">
        <f ca="1">VLOOKUP(B5,'2. 신청 훈련과정 정보'!$H$8:$J$1048576,3,0)</f>
        <v>8</v>
      </c>
      <c r="D8" s="19"/>
      <c r="E8" s="19"/>
      <c r="F8" s="19"/>
      <c r="G8" s="19"/>
      <c r="H8" s="19"/>
      <c r="I8" s="19"/>
    </row>
    <row r="9" spans="1:9" x14ac:dyDescent="0.3">
      <c r="A9" s="30" t="s">
        <v>32</v>
      </c>
      <c r="B9" s="29" t="str">
        <f ca="1">VLOOKUP(B5,'2. 신청 훈련과정 정보'!$H$8:$J$1048576,2,0)</f>
        <v>X</v>
      </c>
      <c r="D9" s="19"/>
      <c r="E9" s="19"/>
      <c r="F9" s="19"/>
      <c r="G9" s="19"/>
      <c r="H9" s="19"/>
      <c r="I9" s="19"/>
    </row>
    <row r="10" spans="1:9" x14ac:dyDescent="0.3">
      <c r="A10" s="30" t="s">
        <v>33</v>
      </c>
      <c r="B10" s="29" t="str">
        <f ca="1">VLOOKUP(B5,'2. 신청 훈련과정 정보'!$H$8:$L$1048576,5,0)</f>
        <v>연중 상시</v>
      </c>
      <c r="D10" s="19"/>
      <c r="E10" s="19"/>
      <c r="F10" s="19"/>
      <c r="G10" s="19"/>
      <c r="H10" s="19"/>
      <c r="I10" s="19"/>
    </row>
    <row r="11" spans="1:9" ht="90" customHeight="1" x14ac:dyDescent="0.3">
      <c r="A11" s="57" t="s">
        <v>35</v>
      </c>
      <c r="B11" s="59" t="s">
        <v>134</v>
      </c>
      <c r="D11" s="19"/>
      <c r="E11" s="19"/>
      <c r="F11" s="19"/>
      <c r="G11" s="19"/>
      <c r="H11" s="19"/>
      <c r="I11" s="19"/>
    </row>
    <row r="12" spans="1:9" ht="90" customHeight="1" x14ac:dyDescent="0.3">
      <c r="A12" s="58"/>
      <c r="B12" s="60"/>
      <c r="D12" s="19"/>
      <c r="E12" s="19"/>
      <c r="F12" s="19"/>
      <c r="G12" s="19"/>
      <c r="H12" s="19"/>
      <c r="I12" s="19"/>
    </row>
    <row r="15" spans="1:9" ht="17.25" thickBot="1" x14ac:dyDescent="0.35">
      <c r="A15" s="28" t="s">
        <v>29</v>
      </c>
      <c r="B15" s="28" t="s">
        <v>30</v>
      </c>
      <c r="D15" s="28" t="s">
        <v>76</v>
      </c>
      <c r="E15" s="28" t="s">
        <v>77</v>
      </c>
      <c r="F15" s="28" t="s">
        <v>78</v>
      </c>
      <c r="G15" s="28" t="s">
        <v>79</v>
      </c>
      <c r="H15" s="28" t="s">
        <v>80</v>
      </c>
      <c r="I15" s="28" t="s">
        <v>81</v>
      </c>
    </row>
    <row r="16" spans="1:9" ht="182.25" thickTop="1" x14ac:dyDescent="0.3">
      <c r="A16" s="27">
        <f ca="1">COUNTIF(INDIRECT("$A$3:A" &amp; ROW()-1), "연번")</f>
        <v>2</v>
      </c>
      <c r="B16" s="27" t="str">
        <f ca="1">VLOOKUP(A16,'2. 신청 훈련과정 정보'!$B$8:$H$1048576,7,0)</f>
        <v>비개발자를 위한 에이전틱 코딩</v>
      </c>
      <c r="D16" s="54" t="s">
        <v>91</v>
      </c>
      <c r="E16" s="39" t="s">
        <v>88</v>
      </c>
      <c r="F16" s="41" t="s">
        <v>106</v>
      </c>
      <c r="G16" s="31" t="s">
        <v>83</v>
      </c>
      <c r="H16" s="45" t="s">
        <v>93</v>
      </c>
      <c r="I16" s="48" t="s">
        <v>143</v>
      </c>
    </row>
    <row r="17" spans="1:9" ht="165" x14ac:dyDescent="0.3">
      <c r="A17" s="30" t="s">
        <v>28</v>
      </c>
      <c r="B17" s="43" t="s">
        <v>126</v>
      </c>
      <c r="D17" s="55"/>
      <c r="E17" s="40" t="s">
        <v>89</v>
      </c>
      <c r="F17" s="42" t="s">
        <v>107</v>
      </c>
      <c r="G17" s="19" t="s">
        <v>94</v>
      </c>
      <c r="H17" s="46"/>
      <c r="I17" s="49"/>
    </row>
    <row r="18" spans="1:9" ht="165" x14ac:dyDescent="0.3">
      <c r="A18" s="30" t="s">
        <v>11</v>
      </c>
      <c r="B18" s="44" t="s">
        <v>136</v>
      </c>
      <c r="D18" s="56"/>
      <c r="E18" s="40" t="s">
        <v>90</v>
      </c>
      <c r="F18" s="42" t="s">
        <v>108</v>
      </c>
      <c r="G18" s="19" t="s">
        <v>94</v>
      </c>
      <c r="H18" s="47"/>
      <c r="I18" s="50"/>
    </row>
    <row r="19" spans="1:9" x14ac:dyDescent="0.3">
      <c r="A19" s="30" t="s">
        <v>34</v>
      </c>
      <c r="B19" s="29">
        <f ca="1">VLOOKUP(B16,'2. 신청 훈련과정 정보'!$H$8:$J$1048576,3,0)</f>
        <v>8</v>
      </c>
      <c r="D19" s="19"/>
      <c r="E19" s="19"/>
      <c r="F19" s="19"/>
      <c r="G19" s="19"/>
      <c r="H19" s="19"/>
      <c r="I19" s="19"/>
    </row>
    <row r="20" spans="1:9" x14ac:dyDescent="0.3">
      <c r="A20" s="30" t="s">
        <v>32</v>
      </c>
      <c r="B20" s="29" t="str">
        <f ca="1">VLOOKUP(B16,'2. 신청 훈련과정 정보'!$H$8:$J$1048576,2,0)</f>
        <v>X</v>
      </c>
      <c r="D20" s="19"/>
      <c r="E20" s="19"/>
      <c r="F20" s="19"/>
      <c r="G20" s="19"/>
      <c r="H20" s="19"/>
      <c r="I20" s="19"/>
    </row>
    <row r="21" spans="1:9" x14ac:dyDescent="0.3">
      <c r="A21" s="30" t="s">
        <v>33</v>
      </c>
      <c r="B21" s="29" t="str">
        <f ca="1">VLOOKUP(B16,'2. 신청 훈련과정 정보'!$H$8:$L$1048576,5,0)</f>
        <v>연중 상시</v>
      </c>
      <c r="D21" s="19"/>
      <c r="E21" s="19"/>
      <c r="F21" s="19"/>
      <c r="G21" s="19"/>
      <c r="H21" s="19"/>
      <c r="I21" s="19"/>
    </row>
    <row r="22" spans="1:9" ht="105" customHeight="1" x14ac:dyDescent="0.3">
      <c r="A22" s="57" t="s">
        <v>35</v>
      </c>
      <c r="B22" s="59" t="s">
        <v>133</v>
      </c>
      <c r="D22" s="19"/>
      <c r="E22" s="19"/>
      <c r="F22" s="19"/>
      <c r="G22" s="19"/>
      <c r="H22" s="19"/>
      <c r="I22" s="19"/>
    </row>
    <row r="23" spans="1:9" ht="133.5" customHeight="1" x14ac:dyDescent="0.3">
      <c r="A23" s="58"/>
      <c r="B23" s="60"/>
      <c r="D23" s="19"/>
      <c r="E23" s="19"/>
      <c r="F23" s="19"/>
      <c r="G23" s="19"/>
      <c r="H23" s="19"/>
      <c r="I23" s="19"/>
    </row>
    <row r="25" spans="1:9" ht="17.25" thickBot="1" x14ac:dyDescent="0.35">
      <c r="A25" s="28" t="s">
        <v>7</v>
      </c>
      <c r="B25" s="28" t="s">
        <v>6</v>
      </c>
      <c r="D25" s="28" t="s">
        <v>76</v>
      </c>
      <c r="E25" s="28" t="s">
        <v>77</v>
      </c>
      <c r="F25" s="28" t="s">
        <v>78</v>
      </c>
      <c r="G25" s="28" t="s">
        <v>79</v>
      </c>
      <c r="H25" s="28" t="s">
        <v>80</v>
      </c>
      <c r="I25" s="28" t="s">
        <v>81</v>
      </c>
    </row>
    <row r="26" spans="1:9" ht="248.25" thickTop="1" x14ac:dyDescent="0.3">
      <c r="A26" s="27">
        <f ca="1">COUNTIF(INDIRECT("$A$3:A" &amp; ROW()-1), "연번")</f>
        <v>3</v>
      </c>
      <c r="B26" s="27" t="str">
        <f ca="1">VLOOKUP(A26,'2. 신청 훈련과정 정보'!$B$8:$H$1048576,7,0)</f>
        <v xml:space="preserve"> 실무형 노코드 멀티 에이전트 과정 </v>
      </c>
      <c r="D26" s="54" t="s">
        <v>95</v>
      </c>
      <c r="E26" s="39" t="s">
        <v>119</v>
      </c>
      <c r="F26" s="41" t="s">
        <v>109</v>
      </c>
      <c r="G26" s="31" t="s">
        <v>83</v>
      </c>
      <c r="H26" s="45" t="s">
        <v>92</v>
      </c>
      <c r="I26" s="48" t="s">
        <v>144</v>
      </c>
    </row>
    <row r="27" spans="1:9" ht="198" x14ac:dyDescent="0.3">
      <c r="A27" s="30" t="s">
        <v>28</v>
      </c>
      <c r="B27" s="43" t="s">
        <v>127</v>
      </c>
      <c r="D27" s="55"/>
      <c r="E27" s="40" t="s">
        <v>96</v>
      </c>
      <c r="F27" s="42" t="s">
        <v>110</v>
      </c>
      <c r="G27" s="19" t="s">
        <v>94</v>
      </c>
      <c r="H27" s="46"/>
      <c r="I27" s="49"/>
    </row>
    <row r="28" spans="1:9" ht="214.5" x14ac:dyDescent="0.3">
      <c r="A28" s="30" t="s">
        <v>11</v>
      </c>
      <c r="B28" s="44" t="s">
        <v>137</v>
      </c>
      <c r="D28" s="56"/>
      <c r="E28" s="40" t="s">
        <v>97</v>
      </c>
      <c r="F28" s="42" t="s">
        <v>123</v>
      </c>
      <c r="G28" s="19" t="s">
        <v>94</v>
      </c>
      <c r="H28" s="47"/>
      <c r="I28" s="50"/>
    </row>
    <row r="29" spans="1:9" x14ac:dyDescent="0.3">
      <c r="A29" s="30" t="s">
        <v>34</v>
      </c>
      <c r="B29" s="29">
        <f ca="1">VLOOKUP(B26,'2. 신청 훈련과정 정보'!$H$8:$J$1048576,3,0)</f>
        <v>8</v>
      </c>
      <c r="D29" s="19"/>
      <c r="E29" s="19"/>
      <c r="F29" s="19"/>
      <c r="G29" s="19"/>
      <c r="H29" s="19"/>
      <c r="I29" s="19"/>
    </row>
    <row r="30" spans="1:9" x14ac:dyDescent="0.3">
      <c r="A30" s="30" t="s">
        <v>32</v>
      </c>
      <c r="B30" s="29" t="str">
        <f ca="1">VLOOKUP(B26,'2. 신청 훈련과정 정보'!$H$8:$J$1048576,2,0)</f>
        <v>X</v>
      </c>
      <c r="D30" s="19"/>
      <c r="E30" s="19"/>
      <c r="F30" s="19"/>
      <c r="G30" s="19"/>
      <c r="H30" s="19"/>
      <c r="I30" s="19"/>
    </row>
    <row r="31" spans="1:9" x14ac:dyDescent="0.3">
      <c r="A31" s="30" t="s">
        <v>25</v>
      </c>
      <c r="B31" s="29" t="str">
        <f ca="1">VLOOKUP(B26,'2. 신청 훈련과정 정보'!$H$8:$L$1048576,5,0)</f>
        <v>연중 상시</v>
      </c>
      <c r="D31" s="19"/>
      <c r="E31" s="19"/>
      <c r="F31" s="19"/>
      <c r="G31" s="19"/>
      <c r="H31" s="19"/>
      <c r="I31" s="19"/>
    </row>
    <row r="32" spans="1:9" ht="135" customHeight="1" x14ac:dyDescent="0.3">
      <c r="A32" s="57" t="s">
        <v>35</v>
      </c>
      <c r="B32" s="59" t="s">
        <v>132</v>
      </c>
      <c r="D32" s="19"/>
      <c r="E32" s="19"/>
      <c r="F32" s="19"/>
      <c r="G32" s="19"/>
      <c r="H32" s="19"/>
      <c r="I32" s="19"/>
    </row>
    <row r="33" spans="1:9" ht="125.25" customHeight="1" x14ac:dyDescent="0.3">
      <c r="A33" s="58"/>
      <c r="B33" s="60"/>
      <c r="D33" s="19"/>
      <c r="E33" s="19"/>
      <c r="F33" s="19"/>
      <c r="G33" s="19"/>
      <c r="H33" s="19"/>
      <c r="I33" s="19"/>
    </row>
    <row r="35" spans="1:9" ht="17.25" thickBot="1" x14ac:dyDescent="0.35">
      <c r="A35" s="28" t="s">
        <v>7</v>
      </c>
      <c r="B35" s="28" t="s">
        <v>6</v>
      </c>
      <c r="D35" s="28" t="s">
        <v>76</v>
      </c>
      <c r="E35" s="28" t="s">
        <v>77</v>
      </c>
      <c r="F35" s="28" t="s">
        <v>78</v>
      </c>
      <c r="G35" s="28" t="s">
        <v>79</v>
      </c>
      <c r="H35" s="28" t="s">
        <v>80</v>
      </c>
      <c r="I35" s="28" t="s">
        <v>81</v>
      </c>
    </row>
    <row r="36" spans="1:9" ht="198.75" thickTop="1" x14ac:dyDescent="0.3">
      <c r="A36" s="27">
        <f ca="1">COUNTIF(INDIRECT("$A$3:A" &amp; ROW()-1), "연번")</f>
        <v>4</v>
      </c>
      <c r="B36" s="27" t="str">
        <f ca="1">VLOOKUP(A36,'2. 신청 훈련과정 정보'!$B$8:$H$1048576,7,0)</f>
        <v>멀티 에이전트 개발을 위한 하네스 엔지니어링</v>
      </c>
      <c r="D36" s="54" t="s">
        <v>98</v>
      </c>
      <c r="E36" s="39" t="s">
        <v>99</v>
      </c>
      <c r="F36" s="41" t="s">
        <v>113</v>
      </c>
      <c r="G36" s="31" t="s">
        <v>83</v>
      </c>
      <c r="H36" s="45" t="s">
        <v>102</v>
      </c>
      <c r="I36" s="48" t="s">
        <v>145</v>
      </c>
    </row>
    <row r="37" spans="1:9" ht="165" x14ac:dyDescent="0.3">
      <c r="A37" s="30" t="s">
        <v>28</v>
      </c>
      <c r="B37" s="43" t="s">
        <v>128</v>
      </c>
      <c r="D37" s="55"/>
      <c r="E37" s="40" t="s">
        <v>100</v>
      </c>
      <c r="F37" s="42" t="s">
        <v>112</v>
      </c>
      <c r="G37" s="19" t="s">
        <v>94</v>
      </c>
      <c r="H37" s="46"/>
      <c r="I37" s="49"/>
    </row>
    <row r="38" spans="1:9" ht="148.5" x14ac:dyDescent="0.3">
      <c r="A38" s="30" t="s">
        <v>11</v>
      </c>
      <c r="B38" s="44" t="s">
        <v>138</v>
      </c>
      <c r="D38" s="56"/>
      <c r="E38" s="40" t="s">
        <v>101</v>
      </c>
      <c r="F38" s="42" t="s">
        <v>111</v>
      </c>
      <c r="G38" s="19" t="s">
        <v>94</v>
      </c>
      <c r="H38" s="47"/>
      <c r="I38" s="50"/>
    </row>
    <row r="39" spans="1:9" x14ac:dyDescent="0.3">
      <c r="A39" s="30" t="s">
        <v>34</v>
      </c>
      <c r="B39" s="29">
        <f ca="1">VLOOKUP(B36,'2. 신청 훈련과정 정보'!$H$8:$J$1048576,3,0)</f>
        <v>8</v>
      </c>
      <c r="D39" s="19"/>
      <c r="E39" s="19"/>
      <c r="F39" s="19"/>
      <c r="G39" s="19"/>
      <c r="H39" s="19"/>
      <c r="I39" s="19"/>
    </row>
    <row r="40" spans="1:9" x14ac:dyDescent="0.3">
      <c r="A40" s="30" t="s">
        <v>32</v>
      </c>
      <c r="B40" s="29" t="str">
        <f ca="1">VLOOKUP(B36,'2. 신청 훈련과정 정보'!$H$8:$J$1048576,2,0)</f>
        <v>X</v>
      </c>
      <c r="D40" s="19"/>
      <c r="E40" s="19"/>
      <c r="F40" s="19"/>
      <c r="G40" s="19"/>
      <c r="H40" s="19"/>
      <c r="I40" s="19"/>
    </row>
    <row r="41" spans="1:9" x14ac:dyDescent="0.3">
      <c r="A41" s="30" t="s">
        <v>25</v>
      </c>
      <c r="B41" s="29" t="str">
        <f ca="1">VLOOKUP(B36,'2. 신청 훈련과정 정보'!$H$8:$L$1048576,5,0)</f>
        <v>연중 상시</v>
      </c>
      <c r="D41" s="19"/>
      <c r="E41" s="19"/>
      <c r="F41" s="19"/>
      <c r="G41" s="19"/>
      <c r="H41" s="19"/>
      <c r="I41" s="19"/>
    </row>
    <row r="42" spans="1:9" ht="111.75" customHeight="1" x14ac:dyDescent="0.3">
      <c r="A42" s="57" t="s">
        <v>35</v>
      </c>
      <c r="B42" s="65" t="s">
        <v>131</v>
      </c>
      <c r="D42" s="19"/>
      <c r="E42" s="19"/>
      <c r="F42" s="19"/>
      <c r="G42" s="19"/>
      <c r="H42" s="19"/>
      <c r="I42" s="19"/>
    </row>
    <row r="43" spans="1:9" ht="105.75" customHeight="1" x14ac:dyDescent="0.3">
      <c r="A43" s="58"/>
      <c r="B43" s="66"/>
      <c r="D43" s="19"/>
      <c r="E43" s="19"/>
      <c r="F43" s="19"/>
      <c r="G43" s="19"/>
      <c r="H43" s="19"/>
      <c r="I43" s="19"/>
    </row>
    <row r="45" spans="1:9" ht="17.25" thickBot="1" x14ac:dyDescent="0.35">
      <c r="A45" s="28" t="s">
        <v>7</v>
      </c>
      <c r="B45" s="28" t="s">
        <v>6</v>
      </c>
      <c r="D45" s="28" t="s">
        <v>76</v>
      </c>
      <c r="E45" s="28" t="s">
        <v>77</v>
      </c>
      <c r="F45" s="28" t="s">
        <v>78</v>
      </c>
      <c r="G45" s="28" t="s">
        <v>79</v>
      </c>
      <c r="H45" s="28" t="s">
        <v>80</v>
      </c>
      <c r="I45" s="28" t="s">
        <v>81</v>
      </c>
    </row>
    <row r="46" spans="1:9" ht="149.25" customHeight="1" thickTop="1" x14ac:dyDescent="0.3">
      <c r="A46" s="27">
        <f ca="1">COUNTIF(INDIRECT("$A$3:A" &amp; ROW()-1), "연번")</f>
        <v>5</v>
      </c>
      <c r="B46" s="27" t="str">
        <f ca="1">VLOOKUP(A46,'2. 신청 훈련과정 정보'!$B$8:$H$1048576,7,0)</f>
        <v>상업용 AI콘텐츠 제작 실전</v>
      </c>
      <c r="D46" s="51" t="s">
        <v>114</v>
      </c>
      <c r="E46" s="39" t="s">
        <v>115</v>
      </c>
      <c r="F46" s="41" t="s">
        <v>120</v>
      </c>
      <c r="G46" s="31" t="s">
        <v>83</v>
      </c>
      <c r="H46" s="45" t="s">
        <v>118</v>
      </c>
      <c r="I46" s="48" t="s">
        <v>146</v>
      </c>
    </row>
    <row r="47" spans="1:9" ht="115.5" x14ac:dyDescent="0.3">
      <c r="A47" s="30" t="s">
        <v>28</v>
      </c>
      <c r="B47" s="43" t="s">
        <v>129</v>
      </c>
      <c r="D47" s="52"/>
      <c r="E47" s="40" t="s">
        <v>116</v>
      </c>
      <c r="F47" s="42" t="s">
        <v>121</v>
      </c>
      <c r="G47" s="19" t="s">
        <v>94</v>
      </c>
      <c r="H47" s="46"/>
      <c r="I47" s="49"/>
    </row>
    <row r="48" spans="1:9" ht="214.5" x14ac:dyDescent="0.3">
      <c r="A48" s="30" t="s">
        <v>11</v>
      </c>
      <c r="B48" s="44" t="s">
        <v>125</v>
      </c>
      <c r="D48" s="53"/>
      <c r="E48" s="40" t="s">
        <v>117</v>
      </c>
      <c r="F48" s="42" t="s">
        <v>122</v>
      </c>
      <c r="G48" s="19" t="s">
        <v>94</v>
      </c>
      <c r="H48" s="47"/>
      <c r="I48" s="50"/>
    </row>
    <row r="49" spans="1:9" x14ac:dyDescent="0.3">
      <c r="A49" s="30" t="s">
        <v>34</v>
      </c>
      <c r="B49" s="29">
        <f ca="1">VLOOKUP(B46,'2. 신청 훈련과정 정보'!$H$8:$J$1048576,3,0)</f>
        <v>8</v>
      </c>
      <c r="D49" s="19"/>
      <c r="E49" s="19"/>
      <c r="F49" s="19"/>
      <c r="G49" s="19"/>
      <c r="H49" s="19"/>
      <c r="I49" s="19"/>
    </row>
    <row r="50" spans="1:9" x14ac:dyDescent="0.3">
      <c r="A50" s="30" t="s">
        <v>32</v>
      </c>
      <c r="B50" s="29" t="str">
        <f ca="1">VLOOKUP(B46,'2. 신청 훈련과정 정보'!$H$8:$J$1048576,2,0)</f>
        <v>X</v>
      </c>
      <c r="D50" s="19"/>
      <c r="E50" s="19"/>
      <c r="F50" s="19"/>
      <c r="G50" s="19"/>
      <c r="H50" s="19"/>
      <c r="I50" s="19"/>
    </row>
    <row r="51" spans="1:9" x14ac:dyDescent="0.3">
      <c r="A51" s="30" t="s">
        <v>25</v>
      </c>
      <c r="B51" s="29" t="str">
        <f ca="1">VLOOKUP(B46,'2. 신청 훈련과정 정보'!$H$8:$L$1048576,5,0)</f>
        <v>연중 상시</v>
      </c>
      <c r="D51" s="19"/>
      <c r="E51" s="19"/>
      <c r="F51" s="19"/>
      <c r="G51" s="19"/>
      <c r="H51" s="19"/>
      <c r="I51" s="19"/>
    </row>
    <row r="52" spans="1:9" ht="80.25" customHeight="1" x14ac:dyDescent="0.3">
      <c r="A52" s="57" t="s">
        <v>35</v>
      </c>
      <c r="B52" s="68" t="s">
        <v>130</v>
      </c>
      <c r="D52" s="19"/>
      <c r="E52" s="19"/>
      <c r="F52" s="19"/>
      <c r="G52" s="19"/>
      <c r="H52" s="19"/>
      <c r="I52" s="19"/>
    </row>
    <row r="53" spans="1:9" ht="126.75" customHeight="1" x14ac:dyDescent="0.3">
      <c r="A53" s="67"/>
      <c r="B53" s="69"/>
      <c r="D53" s="19"/>
      <c r="E53" s="19"/>
      <c r="F53" s="19"/>
      <c r="G53" s="19"/>
      <c r="H53" s="19"/>
      <c r="I53" s="19"/>
    </row>
  </sheetData>
  <mergeCells count="26">
    <mergeCell ref="A32:A33"/>
    <mergeCell ref="B32:B33"/>
    <mergeCell ref="A42:A43"/>
    <mergeCell ref="B42:B43"/>
    <mergeCell ref="A52:A53"/>
    <mergeCell ref="B52:B53"/>
    <mergeCell ref="A11:A12"/>
    <mergeCell ref="B11:B12"/>
    <mergeCell ref="A2:I2"/>
    <mergeCell ref="A22:A23"/>
    <mergeCell ref="B22:B23"/>
    <mergeCell ref="D5:D7"/>
    <mergeCell ref="D16:D18"/>
    <mergeCell ref="H16:H18"/>
    <mergeCell ref="I16:I18"/>
    <mergeCell ref="H5:H7"/>
    <mergeCell ref="I5:I7"/>
    <mergeCell ref="H46:H48"/>
    <mergeCell ref="I46:I48"/>
    <mergeCell ref="D46:D48"/>
    <mergeCell ref="H26:H28"/>
    <mergeCell ref="I26:I28"/>
    <mergeCell ref="D26:D28"/>
    <mergeCell ref="D36:D38"/>
    <mergeCell ref="H36:H38"/>
    <mergeCell ref="I36:I3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5A67-944B-4C73-B93C-E88506CC8F25}">
  <sheetPr>
    <tabColor rgb="FFFFC000"/>
  </sheetPr>
  <dimension ref="A1:G14"/>
  <sheetViews>
    <sheetView workbookViewId="0">
      <selection activeCell="A2" sqref="A2"/>
    </sheetView>
  </sheetViews>
  <sheetFormatPr defaultRowHeight="16.5" x14ac:dyDescent="0.3"/>
  <cols>
    <col min="1" max="1" width="5.25" bestFit="1" customWidth="1"/>
    <col min="2" max="3" width="17.875" customWidth="1"/>
    <col min="4" max="4" width="22.75" customWidth="1"/>
    <col min="5" max="6" width="30.625" customWidth="1"/>
    <col min="7" max="7" width="10.875" customWidth="1"/>
  </cols>
  <sheetData>
    <row r="1" spans="1:7" ht="111.75" customHeight="1" x14ac:dyDescent="0.3">
      <c r="A1" s="106" t="s">
        <v>58</v>
      </c>
      <c r="B1" s="107"/>
      <c r="C1" s="107"/>
      <c r="D1" s="107"/>
      <c r="E1" s="107"/>
      <c r="F1" s="107"/>
      <c r="G1" s="107"/>
    </row>
    <row r="4" spans="1:7" ht="33.75" thickBot="1" x14ac:dyDescent="0.35">
      <c r="A4" s="28" t="s">
        <v>7</v>
      </c>
      <c r="B4" s="36" t="s">
        <v>49</v>
      </c>
      <c r="C4" s="36" t="s">
        <v>54</v>
      </c>
      <c r="D4" s="28" t="s">
        <v>51</v>
      </c>
      <c r="E4" s="28" t="s">
        <v>52</v>
      </c>
      <c r="F4" s="28" t="s">
        <v>53</v>
      </c>
      <c r="G4" s="28" t="s">
        <v>50</v>
      </c>
    </row>
    <row r="5" spans="1:7" ht="17.25" thickTop="1" x14ac:dyDescent="0.3">
      <c r="A5" s="8">
        <v>1</v>
      </c>
      <c r="B5" s="8"/>
      <c r="C5" s="8"/>
      <c r="D5" s="8"/>
      <c r="E5" s="8"/>
      <c r="F5" s="8"/>
      <c r="G5" s="8"/>
    </row>
    <row r="6" spans="1:7" x14ac:dyDescent="0.3">
      <c r="A6" s="6">
        <v>2</v>
      </c>
      <c r="B6" s="6"/>
      <c r="C6" s="6"/>
      <c r="D6" s="6"/>
      <c r="E6" s="6"/>
      <c r="F6" s="6"/>
      <c r="G6" s="6"/>
    </row>
    <row r="7" spans="1:7" x14ac:dyDescent="0.3">
      <c r="A7" s="6">
        <v>3</v>
      </c>
      <c r="B7" s="6"/>
      <c r="C7" s="6"/>
      <c r="D7" s="6"/>
      <c r="E7" s="6"/>
      <c r="F7" s="6"/>
      <c r="G7" s="6"/>
    </row>
    <row r="8" spans="1:7" x14ac:dyDescent="0.3">
      <c r="A8" s="6">
        <v>4</v>
      </c>
      <c r="B8" s="6"/>
      <c r="C8" s="6"/>
      <c r="D8" s="6"/>
      <c r="E8" s="6"/>
      <c r="F8" s="6"/>
      <c r="G8" s="6"/>
    </row>
    <row r="9" spans="1:7" x14ac:dyDescent="0.3">
      <c r="A9" s="6">
        <v>5</v>
      </c>
      <c r="B9" s="6"/>
      <c r="C9" s="6"/>
      <c r="D9" s="6"/>
      <c r="E9" s="6"/>
      <c r="F9" s="6"/>
      <c r="G9" s="6"/>
    </row>
    <row r="10" spans="1:7" x14ac:dyDescent="0.3">
      <c r="A10" s="6">
        <v>6</v>
      </c>
      <c r="B10" s="6"/>
      <c r="C10" s="6"/>
      <c r="D10" s="6"/>
      <c r="E10" s="6"/>
      <c r="F10" s="6"/>
      <c r="G10" s="6"/>
    </row>
    <row r="11" spans="1:7" x14ac:dyDescent="0.3">
      <c r="A11" s="6">
        <v>7</v>
      </c>
      <c r="B11" s="6"/>
      <c r="C11" s="6"/>
      <c r="D11" s="6"/>
      <c r="E11" s="6"/>
      <c r="F11" s="6"/>
      <c r="G11" s="6"/>
    </row>
    <row r="12" spans="1:7" x14ac:dyDescent="0.3">
      <c r="A12" s="6">
        <v>8</v>
      </c>
      <c r="B12" s="6"/>
      <c r="C12" s="6"/>
      <c r="D12" s="6"/>
      <c r="E12" s="6"/>
      <c r="F12" s="6"/>
      <c r="G12" s="6"/>
    </row>
    <row r="13" spans="1:7" x14ac:dyDescent="0.3">
      <c r="A13" s="6">
        <v>9</v>
      </c>
      <c r="B13" s="6"/>
      <c r="C13" s="6"/>
      <c r="D13" s="6"/>
      <c r="E13" s="6"/>
      <c r="F13" s="6"/>
      <c r="G13" s="6"/>
    </row>
    <row r="14" spans="1:7" x14ac:dyDescent="0.3">
      <c r="A14" s="6">
        <v>10</v>
      </c>
      <c r="B14" s="6"/>
      <c r="C14" s="6"/>
      <c r="D14" s="6"/>
      <c r="E14" s="6"/>
      <c r="F14" s="6"/>
      <c r="G14" s="6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기관 정보</vt:lpstr>
      <vt:lpstr>2. 신청 훈련과정 정보</vt:lpstr>
      <vt:lpstr>3. 과정별 교과목 편성</vt:lpstr>
      <vt:lpstr>4. (변경신청 시 작성) 전후대조표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수연 정</dc:creator>
  <cp:lastModifiedBy>glory kim</cp:lastModifiedBy>
  <dcterms:created xsi:type="dcterms:W3CDTF">2024-12-25T06:43:21Z</dcterms:created>
  <dcterms:modified xsi:type="dcterms:W3CDTF">2026-04-03T10:19:17Z</dcterms:modified>
</cp:coreProperties>
</file>