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0" customWidth="1" min="4" max="4"/>
    <col width="16" customWidth="1" min="5" max="5"/>
    <col width="18" customWidth="1" min="6" max="6"/>
    <col width="28" customWidth="1" min="7" max="7"/>
  </cols>
  <sheetData>
    <row r="1" ht="36" customHeight="1">
      <c r="A1" s="1" t="inlineStr">
        <is>
          <t>안산마음건강센터 AI 교육 견적서</t>
        </is>
      </c>
    </row>
    <row r="2" ht="22" customHeight="1">
      <c r="A2" s="2" t="inlineStr">
        <is>
          <t>견적일: 2026년 6월 16일  |  유효기간: 견적일로부터 30일  |  담당자: 김영광 (010-9193-3163)</t>
        </is>
      </c>
    </row>
    <row r="3" ht="8" customHeight="1"/>
    <row r="4" ht="28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수량</t>
        </is>
      </c>
      <c r="D4" s="3" t="inlineStr">
        <is>
          <t>단위</t>
        </is>
      </c>
      <c r="E4" s="3" t="inlineStr">
        <is>
          <t>단가</t>
        </is>
      </c>
      <c r="F4" s="3" t="inlineStr">
        <is>
          <t>공급가액</t>
        </is>
      </c>
      <c r="G4" s="3" t="inlineStr">
        <is>
          <t>비고</t>
        </is>
      </c>
    </row>
    <row r="5" ht="42" customHeight="1">
      <c r="A5" s="4" t="inlineStr">
        <is>
          <t>교육비</t>
        </is>
      </c>
      <c r="B5" s="5" t="inlineStr">
        <is>
          <t>AI 업무 자동화 실전 워크샵
(업무 정의 · 페인포인트 발굴 · 문서 자동화 실습 · 정기 업무 자동화 · 사내 적용 로드맵)</t>
        </is>
      </c>
      <c r="C5" s="4" t="inlineStr">
        <is>
          <t>1회</t>
        </is>
      </c>
      <c r="D5" s="4" t="inlineStr">
        <is>
          <t>3.5시간</t>
        </is>
      </c>
      <c r="E5" s="6" t="n">
        <v>600000</v>
      </c>
      <c r="F5" s="6" t="n">
        <v>2100000</v>
      </c>
      <c r="G5" s="4" t="inlineStr">
        <is>
          <t>* 주강사 1인 오프라인 참여</t>
        </is>
      </c>
    </row>
    <row r="6" ht="42" customHeight="1">
      <c r="A6" s="4" t="inlineStr">
        <is>
          <t>재료비</t>
        </is>
      </c>
      <c r="B6" s="5" t="inlineStr">
        <is>
          <t>실습 재료비 (Codex Skill 템플릿, 프롬프트 라이브러리, 워크시트 인쇄물)</t>
        </is>
      </c>
      <c r="C6" s="4" t="inlineStr">
        <is>
          <t>1식</t>
        </is>
      </c>
      <c r="D6" s="4" t="inlineStr">
        <is>
          <t>1식</t>
        </is>
      </c>
      <c r="E6" s="6" t="n">
        <v>100000</v>
      </c>
      <c r="F6" s="6" t="n">
        <v>100000</v>
      </c>
      <c r="G6" s="4" t="inlineStr"/>
    </row>
    <row r="7" ht="42" customHeight="1">
      <c r="A7" s="4" t="inlineStr">
        <is>
          <t>운영비</t>
        </is>
      </c>
      <c r="B7" s="5" t="inlineStr">
        <is>
          <t>교육 운영비 (사전 기술 지원, 강사 사전 준비, 후속 산출물 아카이빙)</t>
        </is>
      </c>
      <c r="C7" s="4" t="inlineStr">
        <is>
          <t>1식</t>
        </is>
      </c>
      <c r="D7" s="4" t="inlineStr">
        <is>
          <t>1식</t>
        </is>
      </c>
      <c r="E7" s="6" t="n">
        <v>72727</v>
      </c>
      <c r="F7" s="6" t="n">
        <v>72727</v>
      </c>
      <c r="G7" s="4" t="inlineStr"/>
    </row>
    <row r="8" ht="26" customHeight="1">
      <c r="A8" s="7" t="inlineStr">
        <is>
          <t>소계</t>
        </is>
      </c>
      <c r="B8" s="8" t="inlineStr"/>
      <c r="C8" s="8" t="inlineStr"/>
      <c r="D8" s="8" t="inlineStr"/>
      <c r="E8" s="8" t="inlineStr"/>
      <c r="F8" s="9">
        <f>SUM(F5:F7)</f>
        <v/>
      </c>
      <c r="G8" s="8" t="inlineStr"/>
    </row>
    <row r="9" ht="26" customHeight="1">
      <c r="A9" s="7" t="inlineStr">
        <is>
          <t>부가세(10%)</t>
        </is>
      </c>
      <c r="B9" s="8" t="inlineStr"/>
      <c r="C9" s="8" t="inlineStr"/>
      <c r="D9" s="8" t="inlineStr"/>
      <c r="E9" s="8" t="inlineStr"/>
      <c r="F9" s="9">
        <f>ROUND(F8*0.1,0)</f>
        <v/>
      </c>
      <c r="G9" s="8" t="inlineStr"/>
    </row>
    <row r="10" ht="26" customHeight="1">
      <c r="A10" s="7" t="inlineStr">
        <is>
          <t>견적금액</t>
        </is>
      </c>
      <c r="B10" s="8" t="inlineStr"/>
      <c r="C10" s="8" t="inlineStr"/>
      <c r="D10" s="8" t="inlineStr"/>
      <c r="E10" s="8" t="inlineStr"/>
      <c r="F10" s="9">
        <f>F8+F9</f>
        <v/>
      </c>
      <c r="G10" s="8" t="inlineStr">
        <is>
          <t>VAT 포함</t>
        </is>
      </c>
    </row>
    <row r="12" ht="24" customHeight="1">
      <c r="A12" s="10" t="inlineStr">
        <is>
          <t>※ 참고사항</t>
        </is>
      </c>
    </row>
    <row r="13">
      <c r="A13" s="11" t="inlineStr">
        <is>
          <t>· 주강사 1인 기준 견적 — 김민중 Ph.D. (국가수리과학연구소 선임연구원 · 아주대학교 겸임교수)</t>
        </is>
      </c>
    </row>
    <row r="14">
      <c r="A14" s="11" t="inlineStr">
        <is>
          <t>· 시간당 단가 60만 원 — 모두의연구소 기업 교육 기본 단가 (공공기관·비영리 단체 할인 반영)</t>
        </is>
      </c>
    </row>
    <row r="15">
      <c r="A15" s="11" t="inlineStr">
        <is>
          <t>· 강사 프로필 첨부 (강사 약력·프로필 PDF) — 예산 집행 근거용</t>
        </is>
      </c>
    </row>
    <row r="16">
      <c r="A16" s="11" t="inlineStr">
        <is>
          <t>· 강사 교통비 포함 (수도권), 지방 출장 시 별도 협의</t>
        </is>
      </c>
    </row>
    <row r="17">
      <c r="A17" s="11" t="inlineStr">
        <is>
          <t>· 사용 도구: ChatGPT, Codex Desktop, Claude, Gemini (모두 무료 버전 가능) — 별도 SW 라이선스 비용 없음</t>
        </is>
      </c>
    </row>
    <row r="18">
      <c r="A18" s="11" t="inlineStr">
        <is>
          <t>· ChatGPT Plus/Pro 권장 (일부 고급 기능 활용), 계정이 없는 참여자는 현장 가입 진행</t>
        </is>
      </c>
    </row>
    <row r="19">
      <c r="A19" s="11" t="inlineStr">
        <is>
          <t>· 견적 유효기간: 발행일로부터 30일</t>
        </is>
      </c>
    </row>
  </sheetData>
  <mergeCells count="3">
    <mergeCell ref="A2:G2"/>
    <mergeCell ref="A1:G1"/>
    <mergeCell ref="A12:G1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2026-06-16T18:28:52Z</dcterms:created>
  <dcterms:modified xmlns:dcterms="http://purl.org/dc/terms/" xmlns:xsi="http://www.w3.org/2001/XMLSchema-instance" xsi:type="dcterms:W3CDTF">2026-06-16T18:28:52Z</dcterms:modified>
</cp:coreProperties>
</file>