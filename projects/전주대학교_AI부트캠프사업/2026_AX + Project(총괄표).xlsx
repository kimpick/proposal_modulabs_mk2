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업코드체계" sheetId="1" r:id="rId5"/>
    <sheet state="visible" name="총괄표 R&amp;R" sheetId="2" r:id="rId6"/>
    <sheet state="hidden" name="계명대_자체" sheetId="3" r:id="rId7"/>
    <sheet state="visible" name="계명대_0323" sheetId="4" r:id="rId8"/>
    <sheet state="visible" name="기존운영대학 비교" sheetId="5" r:id="rId9"/>
    <sheet state="visible" name="한양대에리카_BIZ_TFT" sheetId="6" r:id="rId10"/>
    <sheet state="visible" name="전주대_BIZ_이관" sheetId="7" r:id="rId11"/>
    <sheet state="visible" name="부산외대_BIZ_이관" sheetId="8" r:id="rId12"/>
    <sheet state="visible" name="제주대_BIZ_이관" sheetId="9" r:id="rId13"/>
    <sheet state="visible" name="ai프리캠퍼스_활용" sheetId="10" r:id="rId14"/>
  </sheets>
  <definedNames/>
  <calcPr/>
</workbook>
</file>

<file path=xl/sharedStrings.xml><?xml version="1.0" encoding="utf-8"?>
<sst xmlns="http://schemas.openxmlformats.org/spreadsheetml/2006/main" count="1318" uniqueCount="616">
  <si>
    <t>AX + Platform 표준체계</t>
  </si>
  <si>
    <t>* AXP 코드는 대학·기업·공공 교육과정을 통합 관리하기 위한 플랫폼 식별 코드이며, 향후 LMS 과정, Node Library, 실습 콘텐츠 관리 기준으로 사용</t>
  </si>
  <si>
    <t>대상</t>
  </si>
  <si>
    <t>코드</t>
  </si>
  <si>
    <t>의미</t>
  </si>
  <si>
    <t>U</t>
  </si>
  <si>
    <t>University</t>
  </si>
  <si>
    <t>대학</t>
  </si>
  <si>
    <t>B</t>
  </si>
  <si>
    <t>Business</t>
  </si>
  <si>
    <t>기업</t>
  </si>
  <si>
    <t>G</t>
  </si>
  <si>
    <t>Government</t>
  </si>
  <si>
    <t>관공서 / 공공기관</t>
  </si>
  <si>
    <t>한양대 ERICA</t>
  </si>
  <si>
    <t>AXP_U_HYU</t>
  </si>
  <si>
    <t>계명대</t>
  </si>
  <si>
    <t>AXP_U_KMU</t>
  </si>
  <si>
    <t>전주대</t>
  </si>
  <si>
    <t>AXP_U_JJU</t>
  </si>
  <si>
    <t>제외</t>
  </si>
  <si>
    <t>부산외대</t>
  </si>
  <si>
    <t>AXP_U_BUFS</t>
  </si>
  <si>
    <t>제주대</t>
  </si>
  <si>
    <t>AXP_U_JNU</t>
  </si>
  <si>
    <t>항목</t>
  </si>
  <si>
    <t>예</t>
  </si>
  <si>
    <t>설명</t>
  </si>
  <si>
    <t>비고</t>
  </si>
  <si>
    <t>프로젝트</t>
  </si>
  <si>
    <t>AXP</t>
  </si>
  <si>
    <t>AX Project</t>
  </si>
  <si>
    <t>학교</t>
  </si>
  <si>
    <t>HYU</t>
  </si>
  <si>
    <t>한양대</t>
  </si>
  <si>
    <t>코스그룹</t>
  </si>
  <si>
    <t>CORE</t>
  </si>
  <si>
    <t>AI Cores</t>
  </si>
  <si>
    <t>코스타입</t>
  </si>
  <si>
    <t>ML</t>
  </si>
  <si>
    <t>예) 기계학습</t>
  </si>
  <si>
    <t>코스학기</t>
  </si>
  <si>
    <t>S1</t>
  </si>
  <si>
    <t>1기,2기,3기…</t>
  </si>
  <si>
    <t>난이도</t>
  </si>
  <si>
    <t>A</t>
  </si>
  <si>
    <t>A / B / C 초급,중급,고급</t>
  </si>
  <si>
    <t>노드번호</t>
  </si>
  <si>
    <t>N001</t>
  </si>
  <si>
    <t>Node</t>
  </si>
  <si>
    <t>버전</t>
  </si>
  <si>
    <t>V1</t>
  </si>
  <si>
    <t>Version</t>
  </si>
  <si>
    <t>AI Learning Node Library</t>
  </si>
  <si>
    <t>Dataset / Practice Code / Quiz / Mission</t>
  </si>
  <si>
    <t>팀별 R&amp;R</t>
  </si>
  <si>
    <t>시점</t>
  </si>
  <si>
    <t>수준</t>
  </si>
  <si>
    <t>과정</t>
  </si>
  <si>
    <t>LMS 운영 (성장전략팀)</t>
  </si>
  <si>
    <r>
      <rPr>
        <rFont val="Arial"/>
        <b/>
        <color theme="1"/>
      </rPr>
      <t>커리큘럼 / Node (</t>
    </r>
    <r>
      <rPr>
        <rFont val="Arial"/>
        <b/>
        <strike/>
        <color theme="1"/>
      </rPr>
      <t>교퍼팀</t>
    </r>
    <r>
      <rPr>
        <rFont val="Arial"/>
        <b/>
        <color theme="1"/>
      </rPr>
      <t>)(성장전략팀)</t>
    </r>
  </si>
  <si>
    <r>
      <rPr>
        <rFont val="Arial"/>
        <b/>
        <color theme="1"/>
      </rPr>
      <t>교육운영 (</t>
    </r>
    <r>
      <rPr>
        <rFont val="Arial"/>
        <b/>
        <strike/>
        <color theme="1"/>
      </rPr>
      <t>교퍼팀</t>
    </r>
    <r>
      <rPr>
        <rFont val="Arial"/>
        <b/>
        <color theme="1"/>
      </rPr>
      <t>)(성장전략팀)</t>
    </r>
  </si>
  <si>
    <t>준비시작</t>
  </si>
  <si>
    <t>LMS 플랫폼 운영 총괄</t>
  </si>
  <si>
    <t>Node Library 관리</t>
  </si>
  <si>
    <t>Bootcamp 운영</t>
  </si>
  <si>
    <t>계명대 (AXP_U_KMU)</t>
  </si>
  <si>
    <t>하계(7~8월)</t>
  </si>
  <si>
    <t>초급</t>
  </si>
  <si>
    <t>휴먼AI 모델링기초</t>
  </si>
  <si>
    <t>관리자·교수자 대시보드 (계명대 전용),GCP관리,통합학생관리추가</t>
  </si>
  <si>
    <t>커리큘럼개발 /Node 업데이트</t>
  </si>
  <si>
    <t>퍼실운영,모니터링</t>
  </si>
  <si>
    <t>4월1일~</t>
  </si>
  <si>
    <t>동계(27.1~2월)</t>
  </si>
  <si>
    <t>중급</t>
  </si>
  <si>
    <t>바이오메디컬AI</t>
  </si>
  <si>
    <t>로봇AI 적용실습</t>
  </si>
  <si>
    <t>모니터링</t>
  </si>
  <si>
    <t>콘텐츠AI 적용실습</t>
  </si>
  <si>
    <t>컴퓨터AI 적용실습</t>
  </si>
  <si>
    <t>에이전틱AI 적용실습</t>
  </si>
  <si>
    <t>고급</t>
  </si>
  <si>
    <t>컴퓨터진단AI 개발실무</t>
  </si>
  <si>
    <t>피지컬로봇AI 개발실무</t>
  </si>
  <si>
    <t>콘텐츠AI 개발실무</t>
  </si>
  <si>
    <t>AI기반 다차원데이터처리 개발실무</t>
  </si>
  <si>
    <t>합계</t>
  </si>
  <si>
    <t>커리큘럼 / Node (비즈팀)</t>
  </si>
  <si>
    <t>교육운영 (비즈팀)</t>
  </si>
  <si>
    <t>한양대 (AXP_U_HYU)</t>
  </si>
  <si>
    <t>26년 2학기(9~12월)</t>
  </si>
  <si>
    <t>기계학습</t>
  </si>
  <si>
    <t>관리자·교수자 대시보드 (한양대 전용),GCP관리</t>
  </si>
  <si>
    <t xml:space="preserve"> 강사</t>
  </si>
  <si>
    <t>딥러닝</t>
  </si>
  <si>
    <t>컴퓨터비전</t>
  </si>
  <si>
    <t>고급딥러닝</t>
  </si>
  <si>
    <t>시각지능학습</t>
  </si>
  <si>
    <t>225 Node</t>
  </si>
  <si>
    <t>AXP_U_KMU(계명대)</t>
  </si>
  <si>
    <t>구분</t>
  </si>
  <si>
    <t>1학기</t>
  </si>
  <si>
    <t>참여기업</t>
  </si>
  <si>
    <t>운영형태</t>
  </si>
  <si>
    <t>수업시수(h)</t>
  </si>
  <si>
    <t>학점</t>
  </si>
  <si>
    <t>모집학생수</t>
  </si>
  <si>
    <t>이수기준</t>
  </si>
  <si>
    <t>운영방식(미정)</t>
  </si>
  <si>
    <t>26년 1학기</t>
  </si>
  <si>
    <t>인공지능개론</t>
  </si>
  <si>
    <t>교과형</t>
  </si>
  <si>
    <t>AI프로그래밍기초</t>
  </si>
  <si>
    <t>의사결정알고리즘과응용</t>
  </si>
  <si>
    <t>휴먼AI 기초과정</t>
  </si>
  <si>
    <t>몰입형</t>
  </si>
  <si>
    <t>모두의연구소</t>
  </si>
  <si>
    <t>계명대 퍼실 자체운영
모두연 운영지원</t>
  </si>
  <si>
    <t>방학 주 2회
3시간*2회*8주=48</t>
  </si>
  <si>
    <t>26년 2학기</t>
  </si>
  <si>
    <t>게임인공지능수학</t>
  </si>
  <si>
    <t>인공지능수치해석</t>
  </si>
  <si>
    <t>머신러닝/딥러닝</t>
  </si>
  <si>
    <t>모바일헬스케어코딩</t>
  </si>
  <si>
    <t>프로그래밍기초</t>
  </si>
  <si>
    <t>게임AI시스템엔지니어링</t>
  </si>
  <si>
    <t>로봇시각지능</t>
  </si>
  <si>
    <t>자연어처리</t>
  </si>
  <si>
    <t>휴먼AI 중급과정</t>
  </si>
  <si>
    <t>방학 주 4회
3시간*4회*7주=92</t>
  </si>
  <si>
    <t>인공지능신호처리</t>
  </si>
  <si>
    <t>수학기반인공지능프로그래밍</t>
  </si>
  <si>
    <t>게임인공지능</t>
  </si>
  <si>
    <t>피지컬AI를위한로봇동역학</t>
  </si>
  <si>
    <t>인공지능모델설계</t>
  </si>
  <si>
    <t>휴먼-컴퓨터 상호작용</t>
  </si>
  <si>
    <t>뇌공학기초와뇌신호분석</t>
  </si>
  <si>
    <t>게임개발을 위한 머신러닝과 생성형AI</t>
  </si>
  <si>
    <t>지능로봇캡스톤디자인</t>
  </si>
  <si>
    <t>하계</t>
  </si>
  <si>
    <t>바이오메디컬AI융합실무</t>
  </si>
  <si>
    <t>게임소프트웨어현장실습</t>
  </si>
  <si>
    <t>지능로봇현장실습</t>
  </si>
  <si>
    <t>바이오메디컬AI캡스톤</t>
  </si>
  <si>
    <t>자동차인공지능</t>
  </si>
  <si>
    <t>인공지능영상처리빅데이터분석</t>
  </si>
  <si>
    <t>Game Project Capstone Design(1)</t>
  </si>
  <si>
    <t>휴먼AI 고급과정</t>
  </si>
  <si>
    <t>방학 주 5회
3시간*5회*9주=135</t>
  </si>
  <si>
    <t>인공지능 개발과 운영</t>
  </si>
  <si>
    <t>생성형 휴먼AI</t>
  </si>
  <si>
    <t>AXP_U_KMU(계명대) (260323 Update)</t>
  </si>
  <si>
    <t>트랙</t>
  </si>
  <si>
    <t>교과목명</t>
  </si>
  <si>
    <t>담당교수</t>
  </si>
  <si>
    <t>학기</t>
  </si>
  <si>
    <t>학점(시간)</t>
  </si>
  <si>
    <t>양성</t>
  </si>
  <si>
    <t>졸업</t>
  </si>
  <si>
    <t>취업</t>
  </si>
  <si>
    <t>기업취업</t>
  </si>
  <si>
    <t>의공학알고리즘과 코딩기초</t>
  </si>
  <si>
    <t>구정훈</t>
  </si>
  <si>
    <t>1학년 2학기</t>
  </si>
  <si>
    <t>3학점 (45시간)</t>
  </si>
  <si>
    <t>교과형 1개를 이수할 경우 
초급 (Human AI-I) 이수증 발급</t>
  </si>
  <si>
    <t>로봇AI</t>
  </si>
  <si>
    <t>공학프로그래밍 수치해석</t>
  </si>
  <si>
    <t>에싸이드메리얌</t>
  </si>
  <si>
    <t>동일</t>
  </si>
  <si>
    <t>콘텐츠AI</t>
  </si>
  <si>
    <t>전산수학</t>
  </si>
  <si>
    <t>성만규</t>
  </si>
  <si>
    <t>소프트웨어AI</t>
  </si>
  <si>
    <t>루이스</t>
  </si>
  <si>
    <t>2학년 2학기</t>
  </si>
  <si>
    <t>에이전틱AI</t>
  </si>
  <si>
    <t>정대원</t>
  </si>
  <si>
    <t>공통(휴먼AI)</t>
  </si>
  <si>
    <t>-</t>
  </si>
  <si>
    <t>하계방학</t>
  </si>
  <si>
    <t>U헬스시스템</t>
  </si>
  <si>
    <t>김선칠</t>
  </si>
  <si>
    <t>4학년 2학기</t>
  </si>
  <si>
    <t>교과형 1개 + 몰입형 1개 이수 시 이수증 발급</t>
  </si>
  <si>
    <t>바이오메디컬AI 적용실습</t>
  </si>
  <si>
    <t>동계방학</t>
  </si>
  <si>
    <t>피지컬AI를 위한 로봇동역학</t>
  </si>
  <si>
    <t>유성근</t>
  </si>
  <si>
    <t>3학년 2학기</t>
  </si>
  <si>
    <t>라피크</t>
  </si>
  <si>
    <t>수학기반 인공지능 프로그래밍</t>
  </si>
  <si>
    <t>이덕우</t>
  </si>
  <si>
    <t>정병선</t>
  </si>
  <si>
    <t>의용공학융합실무</t>
  </si>
  <si>
    <t>교과형 2개 + 몰입형 1개 이수</t>
  </si>
  <si>
    <t>융합캡스톤디자인</t>
  </si>
  <si>
    <t>이종하</t>
  </si>
  <si>
    <t>메카트로닉스 현장실습</t>
  </si>
  <si>
    <t>Machine Learning</t>
  </si>
  <si>
    <t>Game Project Capstone Design1</t>
  </si>
  <si>
    <t>게임소프트웨어 현장실습</t>
  </si>
  <si>
    <t>AI엔지니어링</t>
  </si>
  <si>
    <t>디지털영상처리</t>
  </si>
  <si>
    <t>빅데이터처리</t>
  </si>
  <si>
    <t>김요한</t>
  </si>
  <si>
    <t>전체</t>
  </si>
  <si>
    <t>KMU(계명대) 협력 기업정보 모음</t>
  </si>
  <si>
    <t>순번</t>
  </si>
  <si>
    <t>활용가능트랙</t>
  </si>
  <si>
    <t>기업명</t>
  </si>
  <si>
    <t>사이트</t>
  </si>
  <si>
    <t>특징</t>
  </si>
  <si>
    <t>최근기사</t>
  </si>
  <si>
    <t>바이오메디컬 AI</t>
  </si>
  <si>
    <t>릴리커버</t>
  </si>
  <si>
    <t>https://www.lillycover.com/</t>
  </si>
  <si>
    <t>AI 맞춤 화장품</t>
  </si>
  <si>
    <t>스탠포드 MBA도 주목한 AI 맞춤형 화장품</t>
  </si>
  <si>
    <t>케이메디허브</t>
  </si>
  <si>
    <t>https://www.kmedihub.re.kr/index.do</t>
  </si>
  <si>
    <t>대구경북첨단의료산업진흥재단</t>
  </si>
  <si>
    <t>합성신약 및 의료기기개발'을 위해 R&amp;D 및 기술사업화 지원등</t>
  </si>
  <si>
    <t>인셉션랩</t>
  </si>
  <si>
    <t>https://inceptionlab.com/</t>
  </si>
  <si>
    <t>바이오/의료∙뇌질환 분야의 알츠하이머 치료 보조기기</t>
  </si>
  <si>
    <t>계명대 동산병원 연구팀, 차세대 뇌혈관 영상진단 카테터 개발 성공</t>
  </si>
  <si>
    <t>포위즈시스템</t>
  </si>
  <si>
    <t>http://www.forwiz.com/</t>
  </si>
  <si>
    <t>교원 전용 디지털콘텐츠 플랫폼</t>
  </si>
  <si>
    <t>포위즈시스템기업홍보</t>
  </si>
  <si>
    <t>뉴로메카</t>
  </si>
  <si>
    <t>https://www.neuromeka.com/</t>
  </si>
  <si>
    <t>로봇 플랫폼, 피지컬 AI, 도메인 특화 자동화 솔루션</t>
  </si>
  <si>
    <t>뉴로메카 휴머노이드 로봇 ‘에이르(EIR)</t>
  </si>
  <si>
    <t>잇츠센서</t>
  </si>
  <si>
    <t>http://www.itsensor.co.kr/</t>
  </si>
  <si>
    <t>로봇 및 자동화 시스템의 정밀 제어 센서솔루션</t>
  </si>
  <si>
    <t>DGIST 창업기업, 정밀센서 기반 자율주행로봇 기술력 입증…2028년 IPO 목표</t>
  </si>
  <si>
    <t>단디메카</t>
  </si>
  <si>
    <t>http://www.dhandy.co.kr/</t>
  </si>
  <si>
    <t>로보틱스 자동화 솔루션 기술</t>
  </si>
  <si>
    <t>씨젠, '자동화장비 업체' 단디메카 "인수"</t>
  </si>
  <si>
    <t>삼익 HDS</t>
  </si>
  <si>
    <t>https://www.shds.co.kr/</t>
  </si>
  <si>
    <t>로봇, 반도체제조장치, FA기기제어기술</t>
  </si>
  <si>
    <t>삼익HDS, 소형 유성감속기 HPG 시리즈 선보여</t>
  </si>
  <si>
    <t>로보투스</t>
  </si>
  <si>
    <t>www.robotous.com</t>
  </si>
  <si>
    <t>로봇, 자동화 시스템, 의료 기기, 드론 등 다양한 응용 분야에서 힘 토크 센서</t>
  </si>
  <si>
    <t>힘 토크 센서 분야 글로벌 리더십 목표</t>
  </si>
  <si>
    <t>타임시스템</t>
  </si>
  <si>
    <t>www.t-system.co.kr</t>
  </si>
  <si>
    <t>디스플레이 검사장비 검사 시스템, ABB 신사업</t>
  </si>
  <si>
    <t>모빈</t>
  </si>
  <si>
    <t>https://www.mobinn.co.kr/</t>
  </si>
  <si>
    <t xml:space="preserve"> 로봇배송 서비스</t>
  </si>
  <si>
    <t>아파트 단지 내 로봇 도입 확대·</t>
  </si>
  <si>
    <t>케이쓰리아이</t>
  </si>
  <si>
    <t>https://www.k3i.co.kr/web/index.do</t>
  </si>
  <si>
    <t>물리엔진 기반의 공간정보 중심의 디지털 트윈 도시 관리(XR Meta City 솔루션)</t>
  </si>
  <si>
    <t>뉴로 트윈 엑스(Neuro Twin X)’와 최근 확보한 산업용 로봇을 연동해 테스트</t>
  </si>
  <si>
    <t>라온엔터테인먼트</t>
  </si>
  <si>
    <t>https://www.rhaone.com/</t>
  </si>
  <si>
    <t>게임회사</t>
  </si>
  <si>
    <t>테일즈런너, 겨울 시즌 신규 콘텐츠 ‘테일즈 아틀리에’ 업데이트</t>
  </si>
  <si>
    <t>스피어에이엑스</t>
  </si>
  <si>
    <t>https://sphereax.com/</t>
  </si>
  <si>
    <t>‘비전AI’ 강자 스피어에이엑스, 내년 상장 ‘성큼’</t>
  </si>
  <si>
    <t>유라클</t>
  </si>
  <si>
    <t>https://uracle.co.kr/</t>
  </si>
  <si>
    <t>기업별 AI 플랫폼 구축 사업</t>
  </si>
  <si>
    <t>송도국제도시 아파트,'U헬스케어존'으로 바뀐다</t>
  </si>
  <si>
    <t>범일정보</t>
  </si>
  <si>
    <t>https://www.bumil.co.kr/</t>
  </si>
  <si>
    <t>클라우드 구축 · IT 인프라 구축 · 플랫폼 구축 · 분석 및 시각화 서비스</t>
  </si>
  <si>
    <t>가비아-범일정보 맞손…"AI 플랫폼 기반 공공 시장 공략"</t>
  </si>
  <si>
    <t>Murfy(머피)</t>
  </si>
  <si>
    <t>https://www.murfy.ai/</t>
  </si>
  <si>
    <t>논문 협업 솔루션</t>
  </si>
  <si>
    <t>AI-Latex 협업 편집기로 논문 빨리 작성</t>
  </si>
  <si>
    <t>아르고스</t>
  </si>
  <si>
    <t>https://argos.nanet.go.kr/index.jsp</t>
  </si>
  <si>
    <t>국회도서관 AI시사분석</t>
  </si>
  <si>
    <t xml:space="preserve">기존운영대학 </t>
  </si>
  <si>
    <t>No.</t>
  </si>
  <si>
    <t>분야</t>
  </si>
  <si>
    <t>공개성과 핵심</t>
  </si>
  <si>
    <t>판단 근거</t>
  </si>
  <si>
    <t>개설과정</t>
  </si>
  <si>
    <t>영남대</t>
  </si>
  <si>
    <t>바이오</t>
  </si>
  <si>
    <t>2025학년도 이수자 224명, 성과발표회 130여 명 참석, 현장실습·취업연계 성과와 참여 학생 정규직 채용까지 공개</t>
  </si>
  <si>
    <r>
      <t>수료 규모, 채용 성과, 산·학·관·지 협력까지 공개돼 공개지표가 가장 강합니다. (</t>
    </r>
    <r>
      <rPr>
        <color rgb="FF1155CC"/>
        <u/>
      </rPr>
      <t>museum.yu.ac.kr</t>
    </r>
    <r>
      <rPr/>
      <t>)</t>
    </r>
  </si>
  <si>
    <t>두원공대</t>
  </si>
  <si>
    <t>반도체</t>
  </si>
  <si>
    <t>140여 명 배출, 교육부장관 유공 표창, 이후 2년 연속 장관 표창 및 캠퍼스 현장면접·조기취업 성과 공개</t>
  </si>
  <si>
    <r>
      <t>초기 양성 규모와 외부 인정이 매우 강합니다. (</t>
    </r>
    <r>
      <rPr>
        <color rgb="FF1155CC"/>
        <u/>
      </rPr>
      <t>doowon.ac.kr</t>
    </r>
    <r>
      <rPr/>
      <t>)</t>
    </r>
  </si>
  <si>
    <t>강원대</t>
  </si>
  <si>
    <t>AI</t>
  </si>
  <si>
    <t>공식 사이트에 AI전문 인재양성 14명 / 교육프로그램 9개 / 산업연계 프로젝트 5건 / 지역산업 협력 7건 명시, 해커톤 60여 명 참여</t>
  </si>
  <si>
    <r>
      <t>AI 분야에서 성과를 가장 체계적으로 공개한 학교입니다. (</t>
    </r>
    <r>
      <rPr>
        <color rgb="FF1155CC"/>
        <u/>
      </rPr>
      <t>aiboot.kangwon.ac.kr</t>
    </r>
    <r>
      <rPr/>
      <t>)</t>
    </r>
  </si>
  <si>
    <t>2026년 1학기</t>
  </si>
  <si>
    <t>경일대</t>
  </si>
  <si>
    <t>성과공유회 120명 참석, 추가 성과공유회 80여 명, 4개 PBL 교과목 발표, 취업집중캠프 50여 명 참여</t>
  </si>
  <si>
    <r>
      <t>교육-성과공유-취업준비를 모두 운영한 점이 강점입니다. (</t>
    </r>
    <r>
      <rPr>
        <color rgb="FF1155CC"/>
        <u/>
      </rPr>
      <t>경일대학교 부트캠프</t>
    </r>
    <r>
      <rPr/>
      <t>)</t>
    </r>
  </si>
  <si>
    <t>한양대(서울)</t>
  </si>
  <si>
    <t>30여 개 협력기업·기관, 산업 AI 특화 공동교과, AI Agent 해커톤 운영</t>
  </si>
  <si>
    <r>
      <t>아직 AI 분야 운영 초기지만 기업 네트워크와 프로젝트 밀도가 가장 높습니다. (</t>
    </r>
    <r>
      <rPr>
        <color rgb="FF1155CC"/>
        <u/>
      </rPr>
      <t>AI 부트캠프</t>
    </r>
    <r>
      <rPr/>
      <t>)</t>
    </r>
  </si>
  <si>
    <t>디스플레이</t>
  </si>
  <si>
    <t>6개월 몰입형 교육을 연 2회 운영, 교과형-몰입형 연계, 성과공유회 60여 명 참여</t>
  </si>
  <si>
    <r>
      <t>몰입형 설계의 완성도가 높고 운영체계가 선명합니다. (</t>
    </r>
    <r>
      <rPr>
        <color rgb="FF1155CC"/>
        <u/>
      </rPr>
      <t>디스플레이 첨단산업 인재양성 부트캠프</t>
    </r>
    <r>
      <rPr/>
      <t>)</t>
    </r>
  </si>
  <si>
    <t>동서대</t>
  </si>
  <si>
    <t>이차전지</t>
  </si>
  <si>
    <t>1차년도 성과교류회에서 마이크로디그리 이수 인증서·장학증서 수여, 필드캠퍼스 현장실습 성과 공개, 기업 측에서 즉시 채용 희망 의견 제시</t>
  </si>
  <si>
    <r>
      <t>취업가능성 시그널이 매우 좋습니다. (</t>
    </r>
    <r>
      <rPr>
        <color rgb="FF1155CC"/>
        <u/>
      </rPr>
      <t>아시아경제</t>
    </r>
    <r>
      <rPr/>
      <t>)</t>
    </r>
  </si>
  <si>
    <t>국립강릉원주대</t>
  </si>
  <si>
    <t>강원특별자치도지사 감사패, 교육부장관 유공 표창, 글로벌 교육과정·채용박람회·타 대학 연합 라운드 프로그램 운영</t>
  </si>
  <si>
    <r>
      <t>수상·지역연계·글로벌 확장까지 보이는 운영형 대학입니다. (</t>
    </r>
    <r>
      <rPr>
        <color rgb="FF1155CC"/>
        <u/>
      </rPr>
      <t>전남대학교</t>
    </r>
    <r>
      <rPr/>
      <t>)</t>
    </r>
  </si>
  <si>
    <t>동의대</t>
  </si>
  <si>
    <t>사업단장 교육부장관 표창, 전력반도체 기판·패키징·열관리 등 실무형 전용 교육·실습 인프라 구축</t>
  </si>
  <si>
    <r>
      <t>정량 수치보다는 실무교육 체계의 완성도가 강점입니다. (</t>
    </r>
    <r>
      <rPr>
        <color rgb="FF1155CC"/>
        <u/>
      </rPr>
      <t>아시아경제</t>
    </r>
    <r>
      <rPr/>
      <t>)</t>
    </r>
  </si>
  <si>
    <t>숭실대</t>
  </si>
  <si>
    <t>AI교육원 설립, 67억 사업, 기업협력</t>
  </si>
  <si>
    <r>
      <rPr/>
      <t xml:space="preserve">숭실대학교 AI교육원 ('AI@Everywhere') 을 통한 인재양성을 강화한것이 특징입니다. AI소프트웨어학부, 정보보호학과 등과 연계하여 인간 중심의 글로벌 AI 인재 양성을 목표로 함 </t>
    </r>
    <r>
      <rPr>
        <color rgb="FF1155CC"/>
        <u/>
      </rPr>
      <t>(인재양성부트캠프)</t>
    </r>
  </si>
  <si>
    <t>AXP_U_HYU(한양대)</t>
  </si>
  <si>
    <t>운영방식 (이론/실습)</t>
  </si>
  <si>
    <t>이수구분</t>
  </si>
  <si>
    <t>교육프로그램 이수 기준</t>
  </si>
  <si>
    <t>초급
(피지컬AI Basics)</t>
  </si>
  <si>
    <t>인공지능수학</t>
  </si>
  <si>
    <t>8:2</t>
  </si>
  <si>
    <t>모두연겸임교원초청강연
 +퍼실리테이터 운영</t>
  </si>
  <si>
    <t>전공</t>
  </si>
  <si>
    <t>1개 과목 이수</t>
  </si>
  <si>
    <t>김지우</t>
  </si>
  <si>
    <t>7:3</t>
  </si>
  <si>
    <t>김고은</t>
  </si>
  <si>
    <t>텐서프로그래밍</t>
  </si>
  <si>
    <t>4:6</t>
  </si>
  <si>
    <t>백상훈</t>
  </si>
  <si>
    <t>소프트웨어개발실무</t>
  </si>
  <si>
    <t>윤지희</t>
  </si>
  <si>
    <t>피지컬AI실습(초급)</t>
  </si>
  <si>
    <t>1:9</t>
  </si>
  <si>
    <t>박철</t>
  </si>
  <si>
    <t>김수영</t>
  </si>
  <si>
    <t>중급
(피지컬AI Cores)</t>
  </si>
  <si>
    <t>2개 과목 이수</t>
  </si>
  <si>
    <t>강화학습</t>
  </si>
  <si>
    <t>중급
(피지컬AI Ops)</t>
  </si>
  <si>
    <t>시스템프로그래밍</t>
  </si>
  <si>
    <t>운영체제론</t>
  </si>
  <si>
    <t>인간컴퓨터상호작용</t>
  </si>
  <si>
    <t>인공지능 가속추론</t>
  </si>
  <si>
    <t>중급
(피지컬AI Labs)</t>
  </si>
  <si>
    <t>27년 1학기</t>
  </si>
  <si>
    <t>피지컬AI실습(중급)</t>
  </si>
  <si>
    <t>마음AI</t>
  </si>
  <si>
    <t>AI연구실험실습1</t>
  </si>
  <si>
    <t>마음AI 외 기업</t>
  </si>
  <si>
    <t>AI연구실험실습2</t>
  </si>
  <si>
    <t>고급
(피지컬AI Cores)</t>
  </si>
  <si>
    <t>27년 2학기</t>
  </si>
  <si>
    <t>음성인식</t>
  </si>
  <si>
    <t>고급
(피지컬AI Ops)</t>
  </si>
  <si>
    <t>GPU 프로그래밍</t>
  </si>
  <si>
    <t>임베디드 운영체제</t>
  </si>
  <si>
    <t>AI보안</t>
  </si>
  <si>
    <t>고급
(피지컬AI Labs)</t>
  </si>
  <si>
    <t>28년 1학기</t>
  </si>
  <si>
    <t>피지컬AI실습(고급)</t>
  </si>
  <si>
    <t>AI연구실험실습3</t>
  </si>
  <si>
    <t>AI연구실험실습4</t>
  </si>
  <si>
    <t>과목들 중에 일부 과목(동일과목명)을 집중이수제로 모두의 연구소 스타일로 운영(주로 비AI학과 대상)하기로 했습니다.</t>
  </si>
  <si>
    <t>1. 회의 마지막에 말씀 드렸던 내용과 달라져서 이해 부탁드리며, 교육프로그램 정보 말씀 드린 것을 아래와 같이 말씀 주시면 감사하겠습니다.</t>
  </si>
  <si>
    <t>- 초급/중급 Cores/중급 Ops/고급 Cores/고급 Ops 별로 기존 노드 콘텐츠와 가장 잘 부합되는 과목 한개씩 선택해 주시고, 해당 노드들 포함된 관련 정보를 부탁드립니다.</t>
  </si>
  <si>
    <t>. 초급 : 인공지능수학*, 기계학습, 텐서프로그래밍, 소프트웨어개발실무 중 1개</t>
  </si>
  <si>
    <t>. 중급(Cores) : 딥러닝*, 컴퓨터비전, 자연어처리, 강화학습 중 1개</t>
  </si>
  <si>
    <t>. 중급(Ops) : 시스템프로그래밍, 운영체제론, 인간컴퓨터상호작용, 인공지능과자율주행* 1개</t>
  </si>
  <si>
    <t>. 고급(Cores) : 고급딥러닝*, 시각지능학습*, 음성인식</t>
  </si>
  <si>
    <t>. 고급(Ops) : GPU프로그래밍, 임베디드운영체제, AI보안 (혹시 여기에는 잘 부합되는 과목이 없다면 고급은 Cores에서 두 과목 운영하는 것으로 해서 시각지능학습을 해주시면 어떨까 싶습니다.</t>
  </si>
  <si>
    <t>- 피지컬AI실습(초급), 피지컬AI실습(중급), 피지컬AI실습(고급)은 몰입형으로만 운영(교과에는 없는)되는 특별한 프로그램으로 운영해 볼까 합니다.</t>
  </si>
  <si>
    <t>. 초급/중급에 해당할 수 있는 컨텐츠를 도와주시면 좋을 것 같습니다. 기존 기업 오프라인 교육에서 진행하셨던 컨텐츠를 쓰시면 어떨까 싶습니다. 혹은 위 과목에서 사용된 노드 외에 남은 노드들로 엮어주시는 것도 좋을 것 같습니다.</t>
  </si>
  <si>
    <t>. 중급/고급은 마음AI 쪽에 콘텐츠를 부탁해 보려고 합니다.</t>
  </si>
  <si>
    <t>- 결과적으로 몰입형 7과목을 8주(45시간)으로 제안 주시면 감사하겠습니다. (*는 제가 생각했을 때 기존 노드와 잘 맞을 것 같은 과목 표시입니다.)</t>
  </si>
  <si>
    <t>2. 운영 방식은 대표 교강사(모두의연구소 강사 Pool에서 초빙하는 겸임교원)를 지정하고, 이 분을 중심으로 오프라인에서 강의/초청강의를 일부 하고, 주로 Facilitator 중심으로 온라인 실습을 진행하면 어떨까 싶습니다.</t>
  </si>
  <si>
    <t>- 각 과목의 기업 측 교강사를 예를 들어 적어주시면 제안서 양식에 넣을 수 있을 것 같습니다.</t>
  </si>
  <si>
    <t>- Facilitator도 따로 추가로 필요하여 인원을 선발하고 교육을 해야 한다면, 저희 대학원생들을 추천드릴 수도 있을 것 같습니다.</t>
  </si>
  <si>
    <t>AXP_U_JJU(전주대)</t>
  </si>
  <si>
    <t>교육수준</t>
  </si>
  <si>
    <t>프로그램명 (운영학기)</t>
  </si>
  <si>
    <t>평가형태</t>
  </si>
  <si>
    <t>평가방법</t>
  </si>
  <si>
    <t>운영방식</t>
  </si>
  <si>
    <t>26년 1학기(4~6월)</t>
  </si>
  <si>
    <t>AI 기초</t>
  </si>
  <si>
    <t>(금토)집중이수</t>
  </si>
  <si>
    <t>결과물 제시</t>
  </si>
  <si>
    <t>P/F</t>
  </si>
  <si>
    <t>집중이수 (학기 중 / 야간·주말·플립 러닝 혼용 가능)</t>
  </si>
  <si>
    <t>하계(7월)</t>
  </si>
  <si>
    <t xml:space="preserve">ND1. 피지컬 AI 핵심 기초 </t>
  </si>
  <si>
    <t>(주5일)몰입형</t>
  </si>
  <si>
    <t>강사+오프라인</t>
  </si>
  <si>
    <t>포트폴리오, 캡스톤</t>
  </si>
  <si>
    <t>절대평가 (75점 이상)</t>
  </si>
  <si>
    <t>집중이수, 캡스톤</t>
  </si>
  <si>
    <t>하계(8월)</t>
  </si>
  <si>
    <t xml:space="preserve">ND2. 합성 데이터 및 멀티모달 데이터셋 구축 </t>
  </si>
  <si>
    <t>ND3. 자율주행 및 로봇 인지</t>
  </si>
  <si>
    <t>26년 2학기(10~12월)</t>
  </si>
  <si>
    <t>동계(27.1월)</t>
  </si>
  <si>
    <t>ND5. 로보틱스 LLM 에이전트 구축</t>
  </si>
  <si>
    <t>동계(27.2월)</t>
  </si>
  <si>
    <t>모듈명</t>
  </si>
  <si>
    <t>모듈 번호</t>
  </si>
  <si>
    <t>LLM 관련</t>
  </si>
  <si>
    <t>LLM / Transformer 기초</t>
  </si>
  <si>
    <t>①</t>
  </si>
  <si>
    <t>Prompt Engineering &amp; RAG 입문</t>
  </si>
  <si>
    <t>②</t>
  </si>
  <si>
    <t>LLM 파인튜닝(SFT / LoRA) &amp; 데이터 파이프라인</t>
  </si>
  <si>
    <t>③</t>
  </si>
  <si>
    <t>③⑤⑪⑰⑱ 1차년도에 계획없음.</t>
  </si>
  <si>
    <t>멀티모달 LLM(VLM) &amp; Grounding</t>
  </si>
  <si>
    <t>④</t>
  </si>
  <si>
    <t>모듈 별 15시간</t>
  </si>
  <si>
    <t>LLM 서빙·최적화(저지연 / 온디바이스)</t>
  </si>
  <si>
    <t>⑤</t>
  </si>
  <si>
    <t>에이전트·플래닝·정렬(RLHF / Preference)</t>
  </si>
  <si>
    <t>⑥</t>
  </si>
  <si>
    <t>Robot 관련</t>
  </si>
  <si>
    <t>로봇공학 기초: 좌표계·기구학·센서</t>
  </si>
  <si>
    <t>⑦</t>
  </si>
  <si>
    <t>ROS2 실습: 통신·TF·Nav 개요</t>
  </si>
  <si>
    <t>⑧</t>
  </si>
  <si>
    <t>로봇 비전·인지: 탐지·추적·포즈</t>
  </si>
  <si>
    <t>⑨</t>
  </si>
  <si>
    <t>로봇 제어·경로계획: PID·MPC·샘플링</t>
  </si>
  <si>
    <t>⑩</t>
  </si>
  <si>
    <t>강화학습·모방학습 기반 조작/이동</t>
  </si>
  <si>
    <t>⑪</t>
  </si>
  <si>
    <t>LLM·로봇 시스템통합: Task→Skill→Safety</t>
  </si>
  <si>
    <t>⑫</t>
  </si>
  <si>
    <t>Simulation 관련</t>
  </si>
  <si>
    <t>물리시뮬레이션 기초: 강체·접촉·마찰</t>
  </si>
  <si>
    <t>⑬</t>
  </si>
  <si>
    <t>Isaac Sim / Omniverse 입문: USD·센서·도메인랜덤화</t>
  </si>
  <si>
    <t>⑭</t>
  </si>
  <si>
    <t>시뮬레이션 기반 SLAM / 내비게이션</t>
  </si>
  <si>
    <t>⑮</t>
  </si>
  <si>
    <t>합성데이터·라벨링 파이프라인 구축</t>
  </si>
  <si>
    <t>⑯</t>
  </si>
  <si>
    <t>Sim2Real: 시스템식별·캘리브레이션</t>
  </si>
  <si>
    <t>⑰</t>
  </si>
  <si>
    <t>디지털 트윈: 대규모 시뮬레이션 &amp; 최적화</t>
  </si>
  <si>
    <t>⑱</t>
  </si>
  <si>
    <t>해당 모듈</t>
  </si>
  <si>
    <t>모듈명 1</t>
  </si>
  <si>
    <t>모듈명2</t>
  </si>
  <si>
    <t>모듈명3</t>
  </si>
  <si>
    <t>모듈명4</t>
  </si>
  <si>
    <t>①⑦⑧⑬</t>
  </si>
  <si>
    <t>⑭⑯⑨④</t>
  </si>
  <si>
    <t>⑧⑨⑩⑮</t>
  </si>
  <si>
    <t>⑭⑩⑪⑰</t>
  </si>
  <si>
    <t>⑭⑯④⑨</t>
  </si>
  <si>
    <t>②④⑥⑫</t>
  </si>
  <si>
    <t>AXP_U_BUFS(부산외대)</t>
  </si>
  <si>
    <t>선이수</t>
  </si>
  <si>
    <t>초급 (Basic)</t>
  </si>
  <si>
    <t>26년 5월~</t>
  </si>
  <si>
    <t>생성형 AI 활용 기초</t>
  </si>
  <si>
    <t>기초</t>
  </si>
  <si>
    <t>패스트캠퍼스</t>
  </si>
  <si>
    <t>온라인&amp;오프라인</t>
  </si>
  <si>
    <t>인공지능의이해와활용, Introduction to AI</t>
  </si>
  <si>
    <t>AI 프롬프트 엔지니어링 실무</t>
  </si>
  <si>
    <t>[프로젝트]다국어 AI 바이브코딩(이론+실습)</t>
  </si>
  <si>
    <t>실습</t>
  </si>
  <si>
    <t xml:space="preserve">중급 (Intermediate) </t>
  </si>
  <si>
    <t>26년 6월~</t>
  </si>
  <si>
    <t>파이썬 기초 (이론+실습)</t>
  </si>
  <si>
    <t>핵심</t>
  </si>
  <si>
    <t>인공지능의이해와활용
Introduction to AI
 파이썬프로그래밍
R프로그래밍 
통계적데이터마이닝 
데이터분석기초</t>
  </si>
  <si>
    <t>다국어 데이터분석 및 시각화 (이론+실습)</t>
  </si>
  <si>
    <t>다국어 AI 서비스 기획과 전략 (이론+실습)</t>
  </si>
  <si>
    <t>심화</t>
  </si>
  <si>
    <t>[프로젝트] 다국어 AI 서비스 기획과 전략</t>
  </si>
  <si>
    <t>[프로젝트] AI 에이전트 기반 인터랙티브 서비스 개발 (이론+실습+코티칭)</t>
  </si>
  <si>
    <t>[프로젝트] 다국어 AI 데이터 기반 웹·앱 서비스 개발 (이론+실습+코티칭)</t>
  </si>
  <si>
    <t xml:space="preserve">고급 (Advanced) </t>
  </si>
  <si>
    <t>머신러닝 기반 데이터 처리 및 모델 활용 기초</t>
  </si>
  <si>
    <t>전문</t>
  </si>
  <si>
    <t>파이썬프로그래밍
 R프로그래밍
통계적데이터마이닝
데이터분석기초
기초통계
선형대수
데이터베이스
머신러닝
AI프로그래밍</t>
  </si>
  <si>
    <t>딥러닝 및 대규모 언어모델(LLM) 기초 이해</t>
  </si>
  <si>
    <t>다국어 추천 시스템 및 LLM 응용 구조 이해</t>
  </si>
  <si>
    <t>다국어 AI 모델 배포 및 운영을 위한 MLOps 기초</t>
  </si>
  <si>
    <t>Kakao Cloud Office Tour(과정명)</t>
  </si>
  <si>
    <t>카카오엔터프라이즈</t>
  </si>
  <si>
    <t>Kakao Cloud Essential Basic Course(과정명)</t>
  </si>
  <si>
    <t>Kakao Cloud Kubernetes Engine Intermediate Course(과정명)</t>
  </si>
  <si>
    <t>Kakao CloudAI Service-Kubeflow Advanced Course(과정명)</t>
  </si>
  <si>
    <t>자연어 처리(NLP) 이론 및 고급 모델 구조 이해</t>
  </si>
  <si>
    <t>[프로젝트]Hugging Face 기반 AI 도메인 에이전트 개발(현장실습연계+기업코티칭)</t>
  </si>
  <si>
    <t>[프로젝트] 다국어 데이터 기반 LLM 애플리케이션 엔드투엔드 구축 (현장실습연계+기업코티칭)</t>
  </si>
  <si>
    <t>AXP_U_JNU(제주대)_상세 논의필요</t>
  </si>
  <si>
    <t>2~4주 집중 교육 /  하루 6시간 수업</t>
  </si>
  <si>
    <t>교과목</t>
  </si>
  <si>
    <t>스마트관광 / 에너지</t>
  </si>
  <si>
    <t>1주 (7일)</t>
  </si>
  <si>
    <t>프로젝트 중심 실습</t>
  </si>
  <si>
    <t>스마트관광·에너지 데이터 활용 AI 프로젝트</t>
  </si>
  <si>
    <t>2주 (14일)</t>
  </si>
  <si>
    <t>모두의연구소 / 위니브 / 업스테이지 / 카카오엔터</t>
  </si>
  <si>
    <t>AI와 함께 코딩하자! 인공지능/데이터 커리어 첫걸음</t>
  </si>
  <si>
    <t>강사명</t>
  </si>
  <si>
    <t>모두의연구소 교육퍼실리테이터 팀 (박기웅, 차정은, 박형철)</t>
  </si>
  <si>
    <t>강사 소개</t>
  </si>
  <si>
    <t>모두의연구소 퍼실리테이터
비전공자와 입문자를 대상으로 AI·데이터 교육을 설계하고 운영해 온 전문가 그룹입니다. 이해, 실행, 결과물 중심의 학습 구조와 바이브 코딩(Vibe Coding) 방식을 통해 누구나 인공지능을 직접 만들어보는 첫 경험을 제공합니다.</t>
  </si>
  <si>
    <t>학습 형태</t>
  </si>
  <si>
    <t>영상 기반 강의 + 실습 중심 콘텐츠 (바이브 코딩, 데이터 분석, 머신러닝·딥러닝 프로젝트)</t>
  </si>
  <si>
    <t>사전 지식</t>
  </si>
  <si>
    <t>없음 (코딩 경험이나 수학 지식이 전혀 없는 분들을 위한 입문 과정입니다.)</t>
  </si>
  <si>
    <t>입문</t>
  </si>
  <si>
    <t>학습 대상자</t>
  </si>
  <si>
    <t>• AI 개발자나 데이터 분석가로 진로를 희망하지만 수학과 코딩이 두려운 비전공자
• 인공지능 및 데이터 분야가 본인의 적성에 맞는지 확인하고 싶은 입문자
• 이론보다 눈에 보이는 결과물을 먼저 만들며 재미있게 배우고 싶은 분</t>
  </si>
  <si>
    <t>교육 과정 소개</t>
  </si>
  <si>
    <t>"내 손으로 직접 구현하는 AI, 비전공자도 0부터 시작하자"
본 과정은 파이썬 기초부터 데이터 분석, 머신러닝, 딥러닝, 생성형 AI 활용까지 인공지능 문제 해결의 전 과정을 결과물 중심으로 경험하도록 설계된 입문 커리큘럼입니다.
수식과 이론에 매몰되지 않고, AI에게 명령하고 실행하며 수정하는 바이브 코딩 방식을 통해 나도 할 수 있다는 자기 효능감을 먼저 형성해 드립니다. 이를 통해 AI를 막연한 기술이 아닌, 내가 직접 제어하고 활용할 수 있는 도구로 인식하게 됩니다.</t>
  </si>
  <si>
    <t>강점 및 학습 효과</t>
  </si>
  <si>
    <t>• AI 툴 활용 능력: AI에게 코드를 요청하고 수정하는 프롬프트 엔지니어링 기초 습득
• 진입 장벽 제거: 수학은 그래프로, 코딩은 언어로 이해하며 막연한 두려움 해소
• 직무 전 과정 경험: 데이터 수집부터 모델링, 평가까지 인공지능 및 데이터 직무의 A to Z 체험
• 심화 과정 연계: 실질적인 결과물을 만드는 경험을 통해 학습 동기를 부여하고 심화 단계로 나아갈 발판 마련</t>
  </si>
  <si>
    <t>사용 도구 및 플랫폼</t>
  </si>
  <si>
    <t>• AI 코딩 비서: Cursor (Google Gemini 기반)
• 프로그래밍 언어: Python
• 라이브러리: Pandas, Matplotlib, Scikit-learn</t>
  </si>
  <si>
    <t>1. 서울시 따릉이 데이터 분석: 공공 데이터를 활용한 이용 패턴 분석 및 인사이트 도출
2. 호텔 노쇼(No-show) 예측: 머신러닝을 활용한 비즈니스 문제 해결 모델 구현
3. 표정 인식 AI 서비스 개발: 딥러닝을 활용해 감정을 분석하는 나만의 웹 서비스 구축</t>
  </si>
  <si>
    <t>총 학습시간</t>
  </si>
  <si>
    <t>약 11시간 30분 (재생 시간)</t>
  </si>
  <si>
    <t>차시 번호</t>
  </si>
  <si>
    <t>노드명</t>
  </si>
  <si>
    <t>차시 명</t>
  </si>
  <si>
    <t>학습 시간(분)</t>
  </si>
  <si>
    <t>추가했으면 하는 내용</t>
  </si>
  <si>
    <t>인공지능 개발, 너도 할 수 있어!</t>
  </si>
  <si>
    <t>왜 지금 AI인가? AI에 대한 오해와 진실</t>
  </si>
  <si>
    <t>1.인간 중심 AI(Human AI) 개요</t>
  </si>
  <si>
    <t>AI 시대의 개발자란? : AI 생태계와 직무 지도</t>
  </si>
  <si>
    <t>내용</t>
  </si>
  <si>
    <t>AI를 활용한 ‘바이브 코딩’ 학습 방식 이해하기</t>
  </si>
  <si>
    <t>Human AI 계명대 부트캠프 개요</t>
  </si>
  <si>
    <t>이 정도만 알아도 시작 가능하다!</t>
  </si>
  <si>
    <t>AI 윤리 + 책임성</t>
  </si>
  <si>
    <t>AI야, 나 개발해볼래!</t>
  </si>
  <si>
    <t>[환경설정] AI 코딩 비서 소환하기</t>
  </si>
  <si>
    <t>인간-AI 협업 구조</t>
  </si>
  <si>
    <t>[프롬프트] 개발자가 되는 첫 대화</t>
  </si>
  <si>
    <t>산업 적용 사례 (의료, 제조, 공공)</t>
  </si>
  <si>
    <t>[실행] Hello World 대신 스트림릿</t>
  </si>
  <si>
    <t>[정리] 내가 방금 한 게 ‘개발’이다</t>
  </si>
  <si>
    <t>2.프로젝트 실습 예제 한두개더 추가</t>
  </si>
  <si>
    <t>파이썬, 시켜보며 배우자</t>
  </si>
  <si>
    <t>컴퓨터는 어떻게 생각할까? : 컴퓨팅 사고력</t>
  </si>
  <si>
    <t>[변수와 자료형] 컴퓨터의 기억법</t>
  </si>
  <si>
    <t>3.오프라인 프로젝트</t>
  </si>
  <si>
    <t>[연산자] 더하고, 비교하고, 판단하기</t>
  </si>
  <si>
    <t>[자료구조] 물건을 어떻게 정리하는 게 가장 편할까?</t>
  </si>
  <si>
    <t>4. 발표회추가</t>
  </si>
  <si>
    <t>[조건문] 컴퓨터는 ‘알아서’ 판단하지 않는다</t>
  </si>
  <si>
    <t>[반복문] 자동화는 언제 필요한가?</t>
  </si>
  <si>
    <t>[함수] 생각을 덩어리로 묶지 않으면 복잡해진다</t>
  </si>
  <si>
    <t>3- 8</t>
  </si>
  <si>
    <t>[라이브러리] 이미 만들어진 생각을 쓰는 법</t>
  </si>
  <si>
    <t>눈앞의 펭귄은 무슨 종일까? 수학적으로 찾아내기</t>
  </si>
  <si>
    <t>펭귄의 첫인상 파악하기: EDA와 데이터 살펴보기</t>
  </si>
  <si>
    <t>펭귄의 몸무게 차이는 얼마나 날까? 데이터의 분포와 상대적 위치</t>
  </si>
  <si>
    <t>펭귄이 거주하는 지역에 따라 종을 구분할 수 있을까?: 변수 간의 관계 확인하기</t>
  </si>
  <si>
    <t>숫자를 공간에 배치하기: 차원의 확장과 벡터</t>
  </si>
  <si>
    <t>데이터로 설계하는 따릉이의 미래</t>
  </si>
  <si>
    <t>프로젝트 가이드: 데이터 분석의 여정과 도구 상자</t>
  </si>
  <si>
    <t>비어있는 정보를 채우다: 결측치 처리와 데이터 심폐소생술</t>
  </si>
  <si>
    <t>유난히 튀는 데이터 길들이기: 분포 시각화와 이상치 처리</t>
  </si>
  <si>
    <t>데이터로 그리는 이용 패턴: 다각도 시각화와 특성 추출</t>
  </si>
  <si>
    <t>숫자를 전략으로 바꾸는 힘: 인사이트 도출과 프로모션 기획</t>
  </si>
  <si>
    <t>프로젝트 제출: 데이터로 설계하는 따릉이의 미래</t>
  </si>
  <si>
    <t>노쇼를 잡아라! - 머신러닝으로 예측하는 예약 취소</t>
  </si>
  <si>
    <t>프로젝트 오리엔테이션: 호텔 비즈니스와 머신러닝의 만남</t>
  </si>
  <si>
    <t>가짜 신호를 걸러내는 정밀 검사: 데이터 정제와 EDA</t>
  </si>
  <si>
    <t>알고리즘을 위한 첫 단추: 머신러닝 맞춤형 전처리</t>
  </si>
  <si>
    <t>인공지능 학습의 메커니즘: 모델링과 학습 플로우 이해</t>
  </si>
  <si>
    <t>모델의 성적표 읽기:비즈니스 가치를 담은 평가 지표</t>
  </si>
  <si>
    <t>숫자를 가치로 바꾸는 기술: 최종 보고서 및 비즈니스 솔루션</t>
  </si>
  <si>
    <t>프로젝트 제출: 머신러닝으로 예측하는 예약 취소</t>
  </si>
  <si>
    <t>이미지 데이터로 해결하는 복잡한 문제들</t>
  </si>
  <si>
    <t>[동기] 이미지 데이터와 AI가 만났을 때 해결되는 문제들</t>
  </si>
  <si>
    <t>컴퓨터가 이미지를 보는 법</t>
  </si>
  <si>
    <t>컴퓨터가 이미지를 이해하는 법</t>
  </si>
  <si>
    <t>기존의 한계를 넘어선 딥러닝</t>
  </si>
  <si>
    <t>딥러닝 알고리즘 파헤치기</t>
  </si>
  <si>
    <t>딥러닝은 어떻게 학습하는걸까? - 데이터와 모델</t>
  </si>
  <si>
    <t>딥러닝은 어떻게 학습하는걸까? - 계산과정을 파헤치자</t>
  </si>
  <si>
    <t>딥러닝의 내부에서는 어떤일이 벌어지는걸까?</t>
  </si>
  <si>
    <t>딥러닝 학습에서 중요한건 뭘까?</t>
  </si>
  <si>
    <t>내 손으로 직접 만드는 첫 번째 모델</t>
  </si>
  <si>
    <t>[문제 파악] 표정을 통해 감정 분석 서비스 처리</t>
  </si>
  <si>
    <t>[바이브 실습] 환경설정을 해보고 데이터를 확인하자</t>
  </si>
  <si>
    <t>[바이브 실습] 우리가 가진 데이터를 분할시켜야 하는 이유</t>
  </si>
  <si>
    <t>[바이브 실습] 모델 설계 + 전이 학습</t>
  </si>
  <si>
    <t>[바이브 실습] 모델 학습</t>
  </si>
  <si>
    <t>[바이브 실습] 모델 평가</t>
  </si>
  <si>
    <t>[바이브 실습] 나만의 AI 서비스 웹페이지 만들기</t>
  </si>
  <si>
    <t>프로젝트 그 후</t>
  </si>
  <si>
    <t>프로젝트 제출: 내 손으로 만든 표정 인식 모델</t>
  </si>
  <si>
    <t>인공지능을 더 올바르게 사용하고자 한다면</t>
  </si>
  <si>
    <t>인공지능을 '활용'할 때 주의해야 할 사항</t>
  </si>
  <si>
    <t>인공지능을 '개발'할 때 주의해야 할 사항</t>
  </si>
  <si>
    <t>우리가 함께한 시간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</si>
</sst>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color rgb="FF0000FF"/>
      <name val="Arial"/>
    </font>
    <font>
      <color rgb="FF000000"/>
      <name val="Arial"/>
    </font>
    <font>
      <color rgb="FF980000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돋움"/>
    </font>
    <font>
      <sz val="10.0"/>
      <color theme="1"/>
      <name val="Arial"/>
    </font>
    <font>
      <sz val="10.0"/>
      <color theme="1"/>
      <name val="&quot;Google Sans Text&quot;"/>
    </font>
    <font>
      <sz val="10.0"/>
      <color theme="1"/>
      <name val="&quot;KoPub돋움체 Bold&quot;"/>
    </font>
    <font>
      <color theme="1"/>
      <name val="Google Sans Text"/>
    </font>
    <font>
      <b/>
      <color rgb="FF1F1F1F"/>
      <name val="Google Sans Text"/>
    </font>
    <font>
      <sz val="11.0"/>
      <color rgb="FF000000"/>
      <name val="&quot;맑은 고딕&quot;"/>
    </font>
    <font>
      <b/>
      <sz val="15.0"/>
      <color rgb="FFFFFFFF"/>
      <name val="Malgun Gothic"/>
    </font>
    <font>
      <b/>
      <color theme="1"/>
      <name val="Malgun Gothic"/>
    </font>
    <font>
      <color theme="1"/>
      <name val="Malgun Gothic"/>
    </font>
    <font>
      <color rgb="FF1F1F1F"/>
      <name val="Google Sans Text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1" fillId="2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2" fillId="2" fontId="4" numFmtId="0" xfId="0" applyAlignment="1" applyBorder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1" fillId="0" fontId="5" numFmtId="0" xfId="0" applyAlignment="1" applyBorder="1" applyFont="1">
      <alignment horizontal="left" vertical="center"/>
    </xf>
    <xf borderId="1" fillId="0" fontId="3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5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6" fillId="0" fontId="6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7" fillId="0" fontId="6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bottom"/>
    </xf>
    <xf borderId="0" fillId="3" fontId="3" numFmtId="0" xfId="0" applyAlignment="1" applyFill="1" applyFont="1">
      <alignment horizontal="left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5" fillId="4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3" fontId="2" numFmtId="0" xfId="0" applyAlignment="1" applyFont="1">
      <alignment readingOrder="0" vertical="center"/>
    </xf>
    <xf borderId="0" fillId="3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ont="1">
      <alignment readingOrder="0" shrinkToFit="0" vertical="center" wrapText="1"/>
    </xf>
    <xf borderId="1" fillId="4" fontId="3" numFmtId="0" xfId="0" applyAlignment="1" applyBorder="1" applyFont="1">
      <alignment horizontal="center" readingOrder="0" vertical="center"/>
    </xf>
    <xf borderId="1" fillId="4" fontId="14" numFmtId="0" xfId="0" applyAlignment="1" applyBorder="1" applyFont="1">
      <alignment horizontal="center" readingOrder="0" shrinkToFit="0" vertical="center" wrapText="1"/>
    </xf>
    <xf borderId="5" fillId="5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 shrinkToFit="0" wrapText="1"/>
    </xf>
    <xf borderId="0" fillId="0" fontId="5" numFmtId="0" xfId="0" applyAlignment="1" applyFont="1">
      <alignment vertical="center"/>
    </xf>
    <xf borderId="5" fillId="5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vertical="center"/>
    </xf>
    <xf borderId="1" fillId="2" fontId="5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3" xfId="0" applyAlignment="1" applyFont="1" applyNumberFormat="1">
      <alignment horizontal="center" readingOrder="0" shrinkToFit="0" vertical="center" wrapText="1"/>
    </xf>
    <xf borderId="0" fillId="0" fontId="3" numFmtId="3" xfId="0" applyAlignment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5" fontId="3" numFmtId="3" xfId="0" applyAlignment="1" applyFont="1" applyNumberForma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2" fillId="6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3" fillId="6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14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16" fillId="0" fontId="3" numFmtId="0" xfId="0" applyAlignment="1" applyBorder="1" applyFont="1">
      <alignment horizontal="center" readingOrder="0" shrinkToFit="0" vertical="center" wrapText="1"/>
    </xf>
    <xf borderId="14" fillId="6" fontId="3" numFmtId="0" xfId="0" applyAlignment="1" applyBorder="1" applyFont="1">
      <alignment horizontal="center" readingOrder="0" shrinkToFit="0" vertical="center" wrapText="1"/>
    </xf>
    <xf borderId="15" fillId="6" fontId="3" numFmtId="0" xfId="0" applyAlignment="1" applyBorder="1" applyFont="1">
      <alignment horizontal="center" readingOrder="0" shrinkToFit="0" vertical="center" wrapText="1"/>
    </xf>
    <xf borderId="16" fillId="6" fontId="3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4" fontId="17" numFmtId="0" xfId="0" applyAlignment="1" applyBorder="1" applyFont="1">
      <alignment horizontal="center" readingOrder="0" shrinkToFit="0" vertical="center" wrapText="1"/>
    </xf>
    <xf borderId="1" fillId="4" fontId="16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17" fillId="4" fontId="16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1" fillId="4" fontId="15" numFmtId="0" xfId="0" applyAlignment="1" applyBorder="1" applyFont="1">
      <alignment horizontal="center" readingOrder="0" shrinkToFit="0" vertical="center" wrapText="1"/>
    </xf>
    <xf borderId="1" fillId="5" fontId="17" numFmtId="0" xfId="0" applyAlignment="1" applyBorder="1" applyFont="1">
      <alignment horizontal="center" readingOrder="0" shrinkToFit="0" vertical="center" wrapText="1"/>
    </xf>
    <xf borderId="1" fillId="5" fontId="15" numFmtId="0" xfId="0" applyAlignment="1" applyBorder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19" numFmtId="0" xfId="0" applyAlignment="1" applyBorder="1" applyFont="1">
      <alignment horizontal="center" shrinkToFit="0" vertical="center" wrapText="1"/>
    </xf>
    <xf borderId="1" fillId="5" fontId="19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readingOrder="0" shrinkToFit="0" vertical="center" wrapText="1"/>
    </xf>
    <xf borderId="7" fillId="5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7" fillId="5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vertical="center"/>
    </xf>
    <xf borderId="1" fillId="2" fontId="20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vertical="center"/>
    </xf>
    <xf borderId="0" fillId="0" fontId="5" numFmtId="0" xfId="0" applyAlignment="1" applyFont="1">
      <alignment readingOrder="0" vertical="center"/>
    </xf>
    <xf borderId="0" fillId="0" fontId="21" numFmtId="0" xfId="0" applyAlignment="1" applyFont="1">
      <alignment horizontal="center" readingOrder="0" shrinkToFit="0" wrapText="0"/>
    </xf>
    <xf borderId="0" fillId="0" fontId="5" numFmtId="0" xfId="0" applyAlignment="1" applyFont="1">
      <alignment horizontal="center" readingOrder="0" vertical="center"/>
    </xf>
    <xf borderId="0" fillId="0" fontId="5" numFmtId="0" xfId="0" applyFont="1"/>
    <xf borderId="2" fillId="9" fontId="22" numFmtId="0" xfId="0" applyAlignment="1" applyBorder="1" applyFill="1" applyFont="1">
      <alignment horizontal="center" vertical="center"/>
    </xf>
    <xf borderId="1" fillId="10" fontId="23" numFmtId="0" xfId="0" applyAlignment="1" applyBorder="1" applyFill="1" applyFont="1">
      <alignment horizontal="center" vertical="center"/>
    </xf>
    <xf borderId="2" fillId="5" fontId="24" numFmtId="0" xfId="0" applyAlignment="1" applyBorder="1" applyFont="1">
      <alignment shrinkToFit="0" vertical="center" wrapText="1"/>
    </xf>
    <xf borderId="2" fillId="5" fontId="5" numFmtId="0" xfId="0" applyAlignment="1" applyBorder="1" applyFont="1">
      <alignment vertical="center"/>
    </xf>
    <xf borderId="0" fillId="3" fontId="5" numFmtId="0" xfId="0" applyAlignment="1" applyFont="1">
      <alignment vertical="center"/>
    </xf>
    <xf borderId="1" fillId="0" fontId="25" numFmtId="164" xfId="0" applyAlignment="1" applyBorder="1" applyFont="1" applyNumberFormat="1">
      <alignment horizontal="center" shrinkToFit="0" vertical="center" wrapText="1"/>
    </xf>
    <xf borderId="5" fillId="0" fontId="25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vertical="center"/>
    </xf>
    <xf borderId="1" fillId="0" fontId="25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1" fillId="0" fontId="25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shrinkToFit="0" vertical="center" wrapText="1"/>
    </xf>
    <xf borderId="1" fillId="0" fontId="19" numFmtId="0" xfId="0" applyAlignment="1" applyBorder="1" applyFont="1">
      <alignment vertical="center"/>
    </xf>
    <xf borderId="0" fillId="0" fontId="3" numFmtId="1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obinn.co.kr/" TargetMode="External"/><Relationship Id="rId22" Type="http://schemas.openxmlformats.org/officeDocument/2006/relationships/hyperlink" Target="https://www.k3i.co.kr/web/index.do" TargetMode="External"/><Relationship Id="rId21" Type="http://schemas.openxmlformats.org/officeDocument/2006/relationships/hyperlink" Target="http://www.wsobi.com/news/articleView.html?idxno=302055" TargetMode="External"/><Relationship Id="rId24" Type="http://schemas.openxmlformats.org/officeDocument/2006/relationships/hyperlink" Target="https://www.rhaone.com/" TargetMode="External"/><Relationship Id="rId23" Type="http://schemas.openxmlformats.org/officeDocument/2006/relationships/hyperlink" Target="https://www.finance-scope.com/article/view/scp202512030016" TargetMode="External"/><Relationship Id="rId1" Type="http://schemas.openxmlformats.org/officeDocument/2006/relationships/hyperlink" Target="https://www.lillycover.com/" TargetMode="External"/><Relationship Id="rId2" Type="http://schemas.openxmlformats.org/officeDocument/2006/relationships/hyperlink" Target="https://www.etnews.com/20260319000438" TargetMode="External"/><Relationship Id="rId3" Type="http://schemas.openxmlformats.org/officeDocument/2006/relationships/hyperlink" Target="https://www.kmedihub.re.kr/index.do" TargetMode="External"/><Relationship Id="rId4" Type="http://schemas.openxmlformats.org/officeDocument/2006/relationships/hyperlink" Target="https://www.kivda.or.kr/bbs/board.php?bo_table=notice&amp;wr_id=636" TargetMode="External"/><Relationship Id="rId9" Type="http://schemas.openxmlformats.org/officeDocument/2006/relationships/hyperlink" Target="https://www.neuromeka.com/" TargetMode="External"/><Relationship Id="rId26" Type="http://schemas.openxmlformats.org/officeDocument/2006/relationships/hyperlink" Target="https://sphereax.com/" TargetMode="External"/><Relationship Id="rId25" Type="http://schemas.openxmlformats.org/officeDocument/2006/relationships/hyperlink" Target="https://www.inven.co.kr/webzine/news/?news=311822&amp;site=r" TargetMode="External"/><Relationship Id="rId28" Type="http://schemas.openxmlformats.org/officeDocument/2006/relationships/hyperlink" Target="https://uracle.co.kr/" TargetMode="External"/><Relationship Id="rId27" Type="http://schemas.openxmlformats.org/officeDocument/2006/relationships/hyperlink" Target="https://www.mk.co.kr/news/stock/11459063" TargetMode="External"/><Relationship Id="rId5" Type="http://schemas.openxmlformats.org/officeDocument/2006/relationships/hyperlink" Target="https://inceptionlab.com/" TargetMode="External"/><Relationship Id="rId6" Type="http://schemas.openxmlformats.org/officeDocument/2006/relationships/hyperlink" Target="https://tk.newdaily.co.kr/site/data/html/2026/03/03/2026030300442.html" TargetMode="External"/><Relationship Id="rId29" Type="http://schemas.openxmlformats.org/officeDocument/2006/relationships/hyperlink" Target="http://m.yakup.com/news/index.html?mode=view&amp;pmode=&amp;cat=13&amp;cat2=&amp;cat3=&amp;nid=155502&amp;num_start=31312" TargetMode="External"/><Relationship Id="rId7" Type="http://schemas.openxmlformats.org/officeDocument/2006/relationships/hyperlink" Target="http://www.forwiz.com/" TargetMode="External"/><Relationship Id="rId8" Type="http://schemas.openxmlformats.org/officeDocument/2006/relationships/hyperlink" Target="https://www.yeongnam.com/web/view.php?key=20240625010003364" TargetMode="External"/><Relationship Id="rId31" Type="http://schemas.openxmlformats.org/officeDocument/2006/relationships/hyperlink" Target="https://www.inews24.com/view/1881221" TargetMode="External"/><Relationship Id="rId30" Type="http://schemas.openxmlformats.org/officeDocument/2006/relationships/hyperlink" Target="https://www.bumil.co.kr/" TargetMode="External"/><Relationship Id="rId11" Type="http://schemas.openxmlformats.org/officeDocument/2006/relationships/hyperlink" Target="http://www.itsensor.co.kr/" TargetMode="External"/><Relationship Id="rId33" Type="http://schemas.openxmlformats.org/officeDocument/2006/relationships/hyperlink" Target="https://www.hibrain.net/abroadlife/cafes/456/posts/103/articles/533379" TargetMode="External"/><Relationship Id="rId10" Type="http://schemas.openxmlformats.org/officeDocument/2006/relationships/hyperlink" Target="https://www.irobotnews.com/news/articleView.html?idxno=45022" TargetMode="External"/><Relationship Id="rId32" Type="http://schemas.openxmlformats.org/officeDocument/2006/relationships/hyperlink" Target="https://www.murfy.ai/" TargetMode="External"/><Relationship Id="rId13" Type="http://schemas.openxmlformats.org/officeDocument/2006/relationships/hyperlink" Target="http://www.dhandy.co.kr/" TargetMode="External"/><Relationship Id="rId35" Type="http://schemas.openxmlformats.org/officeDocument/2006/relationships/drawing" Target="../drawings/drawing4.xml"/><Relationship Id="rId12" Type="http://schemas.openxmlformats.org/officeDocument/2006/relationships/hyperlink" Target="https://www.hankyung.com/article/202504114708h" TargetMode="External"/><Relationship Id="rId34" Type="http://schemas.openxmlformats.org/officeDocument/2006/relationships/hyperlink" Target="https://argos.nanet.go.kr/index.jsp" TargetMode="External"/><Relationship Id="rId15" Type="http://schemas.openxmlformats.org/officeDocument/2006/relationships/hyperlink" Target="https://www.shds.co.kr/" TargetMode="External"/><Relationship Id="rId14" Type="http://schemas.openxmlformats.org/officeDocument/2006/relationships/hyperlink" Target="https://www.biospectator.com/news/view/24419" TargetMode="External"/><Relationship Id="rId17" Type="http://schemas.openxmlformats.org/officeDocument/2006/relationships/hyperlink" Target="http://www.robotous.com/" TargetMode="External"/><Relationship Id="rId16" Type="http://schemas.openxmlformats.org/officeDocument/2006/relationships/hyperlink" Target="https://www.hellot.net/news/article.html?no=110940" TargetMode="External"/><Relationship Id="rId19" Type="http://schemas.openxmlformats.org/officeDocument/2006/relationships/hyperlink" Target="http://www.t-system.co.kr" TargetMode="External"/><Relationship Id="rId18" Type="http://schemas.openxmlformats.org/officeDocument/2006/relationships/hyperlink" Target="https://www.parannews.com/n001/391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useum.yu.ac.kr/pr/yunews/yu-news-room.do?article.offset=10&amp;articleLimit=10&amp;mode=list&amp;utm_source=chatgpt.com" TargetMode="External"/><Relationship Id="rId2" Type="http://schemas.openxmlformats.org/officeDocument/2006/relationships/hyperlink" Target="https://www.doowon.ac.kr/bbs/kr/62/5756/artclView.do?utm_source=chatgpt.com" TargetMode="External"/><Relationship Id="rId3" Type="http://schemas.openxmlformats.org/officeDocument/2006/relationships/hyperlink" Target="https://aiboot.kangwon.ac.kr/?utm_source=chatgpt.com" TargetMode="External"/><Relationship Id="rId4" Type="http://schemas.openxmlformats.org/officeDocument/2006/relationships/hyperlink" Target="https://aiboot.kangwon.ac.kr/Home/H50000/H50100/boardView?board_key=2379" TargetMode="External"/><Relationship Id="rId9" Type="http://schemas.openxmlformats.org/officeDocument/2006/relationships/hyperlink" Target="https://www.asiae.co.kr/article/2025021809564306521?utm_source=chatgpt.com" TargetMode="External"/><Relationship Id="rId5" Type="http://schemas.openxmlformats.org/officeDocument/2006/relationships/hyperlink" Target="https://boot.kiu.ac.kr/pages/sub.htm?mode=view&amp;mv_data=aWR4PTgxJnN0YXJ0UGFnZT0wJmxpc3RObz0xNyZ0YWJsZT1jc19iYnNfZGF0YSZzaXRlX2NvZGU9a2l1Ym9vdCZuYXZfY29kZT1ib28xNzQwNDcyNzIyJmNvZGU9Z2FsbGVyeTAwMSZzZWFyY2hfaXRlbT0mc2VhcmNoX29yZGVyPSZvcmRlcl9saXN0PSZsaXN0X3NjYWxlPSZ2aWV3X2xldmVsPSZ2aWV3X2NhdGU9JnZpZXdfY2F0ZTI9%7C%7C&amp;utm_source=chatgpt.com" TargetMode="External"/><Relationship Id="rId6" Type="http://schemas.openxmlformats.org/officeDocument/2006/relationships/hyperlink" Target="https://aibootcamp.hanyang.ac.kr/industry/partners.html?utm_source=chatgpt.com" TargetMode="External"/><Relationship Id="rId7" Type="http://schemas.openxmlformats.org/officeDocument/2006/relationships/hyperlink" Target="https://s3.ap-northeast-2.amazonaws.com/aibootcamp.hanyang.ac.kr/assets/document/2025/%E1%84%89%E1%85%A1%E1%86%AB%E1%84%8B%E1%85%A5%E1%86%B8AI%E1%84%87%E1%85%AE%E1%84%90%E1%85%B3%E1%84%8F%E1%85%A2%E1%86%B7%E1%84%91%E1%85%B3_%E1%84%89%E1%85%AE%E1%84%8B%E1%85%A5%E1%86%B8%E1%84%89%E1%85%B5%E1%86%AB%E1%84%8E%E1%85%A5%E1%86%BC%E1%84%8B%E1%85%A1%E1%86%AB%E1%84%82%E1%85%A2.pdf" TargetMode="External"/><Relationship Id="rId8" Type="http://schemas.openxmlformats.org/officeDocument/2006/relationships/hyperlink" Target="https://displayboot.hanyang.ac.kr/page/education1?utm_source=chatgpt.com" TargetMode="External"/><Relationship Id="rId11" Type="http://schemas.openxmlformats.org/officeDocument/2006/relationships/hyperlink" Target="https://cm.asiae.co.kr/article/2026011416292393041?utm_source=chatgpt.com" TargetMode="External"/><Relationship Id="rId10" Type="http://schemas.openxmlformats.org/officeDocument/2006/relationships/hyperlink" Target="https://www.gwnu.ac.kr/cmnBbs/iacg/2/256210/artclView.do?utm_source=chatgpt.com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s://scatch.ssu.ac.kr/%EB%89%B4%EC%8A%A4%EC%84%BC%ED%84%B0/%EC%A3%BC%EC%9A%94%EB%89%B4%EC%8A%A4/page/189/?slug=%EB%B3%B8%EA%B5%90-2025-%EC%9D%B8%EA%B3%B5%EC%A7%80%EB%8A%A5ai-%EB%B6%84%EC%95%BC-%EC%B2%A8%EB%8B%A8%EC%82%B0%EC%97%85-%EC%9D%B8%EC%9E%AC-%EC%96%91%EC%84%B1-%EB%B6%80%ED%8A%B8%EC%BA%A0%ED%94%84&amp;f&amp;keyword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8.13"/>
  </cols>
  <sheetData>
    <row r="2">
      <c r="B2" s="1" t="s">
        <v>0</v>
      </c>
      <c r="C2" s="2"/>
      <c r="D2" s="2"/>
    </row>
    <row r="3">
      <c r="B3" s="3" t="s">
        <v>1</v>
      </c>
      <c r="C3" s="2"/>
      <c r="D3" s="2"/>
    </row>
    <row r="4">
      <c r="B4" s="2"/>
      <c r="C4" s="2"/>
      <c r="D4" s="2"/>
    </row>
    <row r="5">
      <c r="B5" s="4" t="s">
        <v>2</v>
      </c>
      <c r="C5" s="4" t="s">
        <v>3</v>
      </c>
      <c r="D5" s="4" t="s">
        <v>4</v>
      </c>
    </row>
    <row r="6">
      <c r="B6" s="5" t="s">
        <v>5</v>
      </c>
      <c r="C6" s="5" t="s">
        <v>6</v>
      </c>
      <c r="D6" s="5" t="s">
        <v>7</v>
      </c>
    </row>
    <row r="7">
      <c r="B7" s="5" t="s">
        <v>8</v>
      </c>
      <c r="C7" s="5" t="s">
        <v>9</v>
      </c>
      <c r="D7" s="5" t="s">
        <v>10</v>
      </c>
    </row>
    <row r="8">
      <c r="B8" s="5" t="s">
        <v>11</v>
      </c>
      <c r="C8" s="5" t="s">
        <v>12</v>
      </c>
      <c r="D8" s="5" t="s">
        <v>13</v>
      </c>
    </row>
    <row r="9">
      <c r="B9" s="6"/>
      <c r="C9" s="6"/>
      <c r="D9" s="6"/>
    </row>
    <row r="10">
      <c r="B10" s="7" t="s">
        <v>7</v>
      </c>
      <c r="C10" s="7" t="s">
        <v>3</v>
      </c>
      <c r="D10" s="6"/>
    </row>
    <row r="11">
      <c r="B11" s="8" t="s">
        <v>14</v>
      </c>
      <c r="C11" s="8" t="s">
        <v>15</v>
      </c>
      <c r="D11" s="6"/>
    </row>
    <row r="12">
      <c r="B12" s="8" t="s">
        <v>16</v>
      </c>
      <c r="C12" s="8" t="s">
        <v>17</v>
      </c>
      <c r="D12" s="6"/>
    </row>
    <row r="13">
      <c r="B13" s="8" t="s">
        <v>18</v>
      </c>
      <c r="C13" s="8" t="s">
        <v>19</v>
      </c>
      <c r="D13" s="9" t="s">
        <v>20</v>
      </c>
    </row>
    <row r="14">
      <c r="B14" s="8" t="s">
        <v>21</v>
      </c>
      <c r="C14" s="8" t="s">
        <v>22</v>
      </c>
      <c r="D14" s="9" t="s">
        <v>20</v>
      </c>
    </row>
    <row r="15">
      <c r="B15" s="8" t="s">
        <v>23</v>
      </c>
      <c r="C15" s="8" t="s">
        <v>24</v>
      </c>
      <c r="D15" s="9" t="s">
        <v>20</v>
      </c>
    </row>
    <row r="16">
      <c r="D16" s="6"/>
    </row>
    <row r="17">
      <c r="B17" s="6"/>
      <c r="C17" s="6"/>
      <c r="D17" s="6"/>
    </row>
    <row r="18">
      <c r="B18" s="4" t="s">
        <v>25</v>
      </c>
      <c r="C18" s="4" t="s">
        <v>26</v>
      </c>
      <c r="D18" s="4" t="s">
        <v>27</v>
      </c>
      <c r="E18" s="4" t="s">
        <v>28</v>
      </c>
    </row>
    <row r="19">
      <c r="B19" s="5" t="s">
        <v>29</v>
      </c>
      <c r="C19" s="5" t="s">
        <v>30</v>
      </c>
      <c r="D19" s="5" t="s">
        <v>31</v>
      </c>
      <c r="E19" s="5"/>
    </row>
    <row r="20">
      <c r="B20" s="5" t="s">
        <v>2</v>
      </c>
      <c r="C20" s="5" t="s">
        <v>5</v>
      </c>
      <c r="D20" s="5" t="s">
        <v>6</v>
      </c>
      <c r="E20" s="5"/>
    </row>
    <row r="21">
      <c r="B21" s="5" t="s">
        <v>32</v>
      </c>
      <c r="C21" s="5" t="s">
        <v>33</v>
      </c>
      <c r="D21" s="5" t="s">
        <v>34</v>
      </c>
      <c r="E21" s="5"/>
    </row>
    <row r="22">
      <c r="B22" s="5" t="s">
        <v>35</v>
      </c>
      <c r="C22" s="5" t="s">
        <v>36</v>
      </c>
      <c r="D22" s="5" t="s">
        <v>37</v>
      </c>
      <c r="E22" s="5"/>
    </row>
    <row r="23">
      <c r="B23" s="5" t="s">
        <v>38</v>
      </c>
      <c r="C23" s="5" t="s">
        <v>39</v>
      </c>
      <c r="D23" s="5" t="s">
        <v>40</v>
      </c>
      <c r="E23" s="5"/>
    </row>
    <row r="24">
      <c r="B24" s="5" t="s">
        <v>41</v>
      </c>
      <c r="C24" s="5" t="s">
        <v>42</v>
      </c>
      <c r="D24" s="5" t="s">
        <v>43</v>
      </c>
      <c r="E24" s="5"/>
    </row>
    <row r="25">
      <c r="B25" s="5" t="s">
        <v>44</v>
      </c>
      <c r="C25" s="5" t="s">
        <v>45</v>
      </c>
      <c r="D25" s="5" t="s">
        <v>46</v>
      </c>
      <c r="E25" s="5"/>
    </row>
    <row r="26">
      <c r="B26" s="5" t="s">
        <v>47</v>
      </c>
      <c r="C26" s="5" t="s">
        <v>48</v>
      </c>
      <c r="D26" s="5" t="s">
        <v>49</v>
      </c>
      <c r="E26" s="5"/>
    </row>
    <row r="27">
      <c r="B27" s="5" t="s">
        <v>50</v>
      </c>
      <c r="C27" s="5" t="s">
        <v>51</v>
      </c>
      <c r="D27" s="5" t="s">
        <v>52</v>
      </c>
      <c r="E27" s="5"/>
    </row>
    <row r="30">
      <c r="B30" s="10" t="s">
        <v>53</v>
      </c>
      <c r="C30" s="11"/>
      <c r="D30" s="12"/>
    </row>
    <row r="31">
      <c r="B31" s="13" t="s">
        <v>54</v>
      </c>
      <c r="C31" s="14"/>
      <c r="D31" s="14"/>
    </row>
    <row r="32">
      <c r="B32" s="13" t="s">
        <v>54</v>
      </c>
      <c r="C32" s="14"/>
      <c r="D32" s="14"/>
    </row>
    <row r="33">
      <c r="B33" s="13" t="s">
        <v>54</v>
      </c>
      <c r="C33" s="14"/>
      <c r="D33" s="14"/>
    </row>
    <row r="34">
      <c r="B34" s="13" t="s">
        <v>54</v>
      </c>
      <c r="C34" s="14"/>
      <c r="D34" s="14"/>
    </row>
    <row r="35">
      <c r="B35" s="13" t="s">
        <v>54</v>
      </c>
      <c r="C35" s="14"/>
      <c r="D35" s="14"/>
    </row>
    <row r="36">
      <c r="B36" s="13" t="s">
        <v>54</v>
      </c>
      <c r="C36" s="14"/>
      <c r="D36" s="14"/>
    </row>
    <row r="37">
      <c r="B37" s="13" t="s">
        <v>54</v>
      </c>
      <c r="C37" s="14"/>
      <c r="D37" s="14"/>
    </row>
  </sheetData>
  <mergeCells count="1">
    <mergeCell ref="B30:D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  <col customWidth="1" min="4" max="4" width="7.63"/>
    <col customWidth="1" min="5" max="5" width="17.63"/>
    <col customWidth="1" min="6" max="6" width="8.88"/>
    <col customWidth="1" min="7" max="7" width="58.38"/>
    <col customWidth="1" min="8" max="8" width="31.88"/>
    <col customWidth="1" min="9" max="9" width="24.63"/>
  </cols>
  <sheetData>
    <row r="1">
      <c r="A1" s="15"/>
      <c r="B1" s="16"/>
      <c r="C1" s="15"/>
      <c r="D1" s="15"/>
      <c r="E1" s="16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17" t="s">
        <v>55</v>
      </c>
      <c r="C2" s="18"/>
      <c r="D2" s="18"/>
      <c r="E2" s="17"/>
      <c r="F2" s="18"/>
      <c r="G2" s="18"/>
      <c r="H2" s="18"/>
      <c r="I2" s="18"/>
      <c r="J2" s="18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/>
      <c r="B3" s="19" t="s">
        <v>7</v>
      </c>
      <c r="C3" s="20" t="s">
        <v>56</v>
      </c>
      <c r="D3" s="20" t="s">
        <v>57</v>
      </c>
      <c r="E3" s="19" t="s">
        <v>58</v>
      </c>
      <c r="F3" s="20" t="s">
        <v>49</v>
      </c>
      <c r="G3" s="21" t="s">
        <v>59</v>
      </c>
      <c r="H3" s="22" t="s">
        <v>60</v>
      </c>
      <c r="I3" s="22" t="s">
        <v>61</v>
      </c>
      <c r="J3" s="20" t="s">
        <v>62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23"/>
      <c r="C4" s="23"/>
      <c r="D4" s="23"/>
      <c r="E4" s="23"/>
      <c r="F4" s="23"/>
      <c r="G4" s="21" t="s">
        <v>63</v>
      </c>
      <c r="H4" s="21" t="s">
        <v>64</v>
      </c>
      <c r="I4" s="21" t="s">
        <v>65</v>
      </c>
      <c r="J4" s="23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5"/>
      <c r="B5" s="24" t="s">
        <v>66</v>
      </c>
      <c r="C5" s="25" t="s">
        <v>67</v>
      </c>
      <c r="D5" s="25" t="s">
        <v>68</v>
      </c>
      <c r="E5" s="26" t="s">
        <v>69</v>
      </c>
      <c r="F5" s="25">
        <v>45.0</v>
      </c>
      <c r="G5" s="27" t="s">
        <v>70</v>
      </c>
      <c r="H5" s="28" t="s">
        <v>71</v>
      </c>
      <c r="I5" s="28" t="s">
        <v>72</v>
      </c>
      <c r="J5" s="29" t="s">
        <v>73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30"/>
      <c r="C6" s="29" t="s">
        <v>74</v>
      </c>
      <c r="D6" s="29" t="s">
        <v>75</v>
      </c>
      <c r="E6" s="31" t="s">
        <v>76</v>
      </c>
      <c r="F6" s="32">
        <v>45.0</v>
      </c>
      <c r="G6" s="32" t="s">
        <v>70</v>
      </c>
      <c r="H6" s="28" t="s">
        <v>71</v>
      </c>
      <c r="I6" s="28" t="s">
        <v>72</v>
      </c>
      <c r="J6" s="29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30"/>
      <c r="C7" s="29" t="s">
        <v>74</v>
      </c>
      <c r="D7" s="29" t="s">
        <v>75</v>
      </c>
      <c r="E7" s="31" t="s">
        <v>77</v>
      </c>
      <c r="F7" s="32">
        <v>45.0</v>
      </c>
      <c r="G7" s="32" t="s">
        <v>70</v>
      </c>
      <c r="H7" s="28" t="s">
        <v>71</v>
      </c>
      <c r="I7" s="28" t="s">
        <v>78</v>
      </c>
      <c r="J7" s="2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30"/>
      <c r="C8" s="29" t="s">
        <v>74</v>
      </c>
      <c r="D8" s="29" t="s">
        <v>75</v>
      </c>
      <c r="E8" s="31" t="s">
        <v>79</v>
      </c>
      <c r="F8" s="32">
        <v>45.0</v>
      </c>
      <c r="G8" s="32" t="s">
        <v>70</v>
      </c>
      <c r="H8" s="28" t="s">
        <v>71</v>
      </c>
      <c r="I8" s="28" t="s">
        <v>78</v>
      </c>
      <c r="J8" s="29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30"/>
      <c r="C9" s="29" t="s">
        <v>74</v>
      </c>
      <c r="D9" s="29" t="s">
        <v>75</v>
      </c>
      <c r="E9" s="31" t="s">
        <v>80</v>
      </c>
      <c r="F9" s="32">
        <v>45.0</v>
      </c>
      <c r="G9" s="32" t="s">
        <v>70</v>
      </c>
      <c r="H9" s="28" t="s">
        <v>71</v>
      </c>
      <c r="I9" s="28" t="s">
        <v>78</v>
      </c>
      <c r="J9" s="29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30"/>
      <c r="C10" s="29" t="s">
        <v>74</v>
      </c>
      <c r="D10" s="29" t="s">
        <v>75</v>
      </c>
      <c r="E10" s="31" t="s">
        <v>81</v>
      </c>
      <c r="F10" s="32">
        <v>45.0</v>
      </c>
      <c r="G10" s="32" t="s">
        <v>70</v>
      </c>
      <c r="H10" s="28" t="s">
        <v>71</v>
      </c>
      <c r="I10" s="28" t="s">
        <v>78</v>
      </c>
      <c r="J10" s="29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30"/>
      <c r="C11" s="29" t="s">
        <v>74</v>
      </c>
      <c r="D11" s="32" t="s">
        <v>82</v>
      </c>
      <c r="E11" s="31" t="s">
        <v>83</v>
      </c>
      <c r="F11" s="32">
        <v>45.0</v>
      </c>
      <c r="G11" s="32" t="s">
        <v>70</v>
      </c>
      <c r="H11" s="28" t="s">
        <v>71</v>
      </c>
      <c r="I11" s="28" t="s">
        <v>78</v>
      </c>
      <c r="J11" s="29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30"/>
      <c r="C12" s="29" t="s">
        <v>74</v>
      </c>
      <c r="D12" s="32" t="s">
        <v>82</v>
      </c>
      <c r="E12" s="31" t="s">
        <v>84</v>
      </c>
      <c r="F12" s="32">
        <v>45.0</v>
      </c>
      <c r="G12" s="32" t="s">
        <v>70</v>
      </c>
      <c r="H12" s="28" t="s">
        <v>71</v>
      </c>
      <c r="I12" s="28" t="s">
        <v>78</v>
      </c>
      <c r="J12" s="29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30"/>
      <c r="C13" s="29" t="s">
        <v>74</v>
      </c>
      <c r="D13" s="32" t="s">
        <v>82</v>
      </c>
      <c r="E13" s="31" t="s">
        <v>85</v>
      </c>
      <c r="F13" s="32">
        <v>45.0</v>
      </c>
      <c r="G13" s="32" t="s">
        <v>70</v>
      </c>
      <c r="H13" s="28" t="s">
        <v>71</v>
      </c>
      <c r="I13" s="28" t="s">
        <v>78</v>
      </c>
      <c r="J13" s="29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23"/>
      <c r="C14" s="29" t="s">
        <v>74</v>
      </c>
      <c r="D14" s="32" t="s">
        <v>82</v>
      </c>
      <c r="E14" s="31" t="s">
        <v>86</v>
      </c>
      <c r="F14" s="32">
        <v>45.0</v>
      </c>
      <c r="G14" s="32" t="s">
        <v>70</v>
      </c>
      <c r="H14" s="28" t="s">
        <v>71</v>
      </c>
      <c r="I14" s="28" t="s">
        <v>78</v>
      </c>
      <c r="J14" s="29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33" t="s">
        <v>87</v>
      </c>
      <c r="C15" s="29"/>
      <c r="D15" s="29"/>
      <c r="E15" s="33"/>
      <c r="F15" s="29">
        <f>SUM(F5:F14)</f>
        <v>450</v>
      </c>
      <c r="G15" s="29"/>
      <c r="H15" s="29"/>
      <c r="I15" s="29"/>
      <c r="J15" s="29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7"/>
      <c r="C16" s="18"/>
      <c r="D16" s="18"/>
      <c r="E16" s="17"/>
      <c r="F16" s="18"/>
      <c r="G16" s="18"/>
      <c r="H16" s="18"/>
      <c r="I16" s="18"/>
      <c r="J16" s="18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7"/>
      <c r="C17" s="18"/>
      <c r="D17" s="18"/>
      <c r="E17" s="17"/>
      <c r="F17" s="18"/>
      <c r="G17" s="18"/>
      <c r="H17" s="18"/>
      <c r="I17" s="18"/>
      <c r="J17" s="18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7" t="s">
        <v>55</v>
      </c>
      <c r="C18" s="18"/>
      <c r="D18" s="18"/>
      <c r="E18" s="17"/>
      <c r="F18" s="18"/>
      <c r="G18" s="18"/>
      <c r="H18" s="18"/>
      <c r="I18" s="18"/>
      <c r="J18" s="18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9" t="s">
        <v>7</v>
      </c>
      <c r="C19" s="20" t="s">
        <v>56</v>
      </c>
      <c r="D19" s="20" t="s">
        <v>57</v>
      </c>
      <c r="E19" s="19" t="s">
        <v>58</v>
      </c>
      <c r="F19" s="20" t="s">
        <v>49</v>
      </c>
      <c r="G19" s="21" t="s">
        <v>59</v>
      </c>
      <c r="H19" s="21" t="s">
        <v>88</v>
      </c>
      <c r="I19" s="21" t="s">
        <v>89</v>
      </c>
      <c r="J19" s="20" t="s">
        <v>62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23"/>
      <c r="C20" s="23"/>
      <c r="D20" s="23"/>
      <c r="E20" s="23"/>
      <c r="F20" s="23"/>
      <c r="G20" s="21" t="s">
        <v>63</v>
      </c>
      <c r="H20" s="21" t="s">
        <v>64</v>
      </c>
      <c r="I20" s="21" t="s">
        <v>65</v>
      </c>
      <c r="J20" s="23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24" t="s">
        <v>90</v>
      </c>
      <c r="C21" s="34" t="s">
        <v>91</v>
      </c>
      <c r="D21" s="29" t="s">
        <v>68</v>
      </c>
      <c r="E21" s="35" t="s">
        <v>92</v>
      </c>
      <c r="F21" s="25">
        <v>45.0</v>
      </c>
      <c r="G21" s="36" t="s">
        <v>93</v>
      </c>
      <c r="H21" s="32" t="s">
        <v>71</v>
      </c>
      <c r="I21" s="29" t="s">
        <v>94</v>
      </c>
      <c r="J21" s="29" t="s">
        <v>73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30"/>
      <c r="C22" s="34" t="s">
        <v>91</v>
      </c>
      <c r="D22" s="29" t="s">
        <v>68</v>
      </c>
      <c r="E22" s="35" t="s">
        <v>95</v>
      </c>
      <c r="F22" s="25">
        <v>45.0</v>
      </c>
      <c r="G22" s="36" t="s">
        <v>93</v>
      </c>
      <c r="H22" s="32" t="s">
        <v>71</v>
      </c>
      <c r="I22" s="29" t="s">
        <v>94</v>
      </c>
      <c r="J22" s="29" t="s">
        <v>73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30"/>
      <c r="C23" s="34" t="s">
        <v>91</v>
      </c>
      <c r="D23" s="29" t="s">
        <v>75</v>
      </c>
      <c r="E23" s="35" t="s">
        <v>96</v>
      </c>
      <c r="F23" s="25">
        <v>45.0</v>
      </c>
      <c r="G23" s="36" t="s">
        <v>93</v>
      </c>
      <c r="H23" s="32" t="s">
        <v>71</v>
      </c>
      <c r="I23" s="29" t="s">
        <v>94</v>
      </c>
      <c r="J23" s="29" t="s">
        <v>73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30"/>
      <c r="C24" s="34" t="s">
        <v>91</v>
      </c>
      <c r="D24" s="29" t="s">
        <v>82</v>
      </c>
      <c r="E24" s="35" t="s">
        <v>97</v>
      </c>
      <c r="F24" s="25">
        <v>45.0</v>
      </c>
      <c r="G24" s="36" t="s">
        <v>93</v>
      </c>
      <c r="H24" s="32" t="s">
        <v>71</v>
      </c>
      <c r="I24" s="29" t="s">
        <v>94</v>
      </c>
      <c r="J24" s="29" t="s">
        <v>73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23"/>
      <c r="C25" s="34" t="s">
        <v>91</v>
      </c>
      <c r="D25" s="29" t="s">
        <v>82</v>
      </c>
      <c r="E25" s="35" t="s">
        <v>98</v>
      </c>
      <c r="F25" s="25">
        <v>45.0</v>
      </c>
      <c r="G25" s="36" t="s">
        <v>93</v>
      </c>
      <c r="H25" s="32" t="s">
        <v>71</v>
      </c>
      <c r="I25" s="29" t="s">
        <v>94</v>
      </c>
      <c r="J25" s="29" t="s">
        <v>73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33" t="s">
        <v>87</v>
      </c>
      <c r="C26" s="29"/>
      <c r="D26" s="29"/>
      <c r="E26" s="33"/>
      <c r="F26" s="29" t="s">
        <v>99</v>
      </c>
      <c r="G26" s="29"/>
      <c r="H26" s="29"/>
      <c r="I26" s="29"/>
      <c r="J26" s="29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6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6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6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6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6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6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6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6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6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6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6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6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6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6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6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6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6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6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6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6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6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6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6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6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6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6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6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6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6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6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6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6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6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6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6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6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6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6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6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6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6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6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6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6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6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6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6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6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6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6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6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6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6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6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6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6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6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6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6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6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6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6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6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6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6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6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6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6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6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6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6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6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6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6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6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6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6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6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6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6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6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6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6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6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6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6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6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6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6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6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6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6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6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6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6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6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6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6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6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6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6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6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6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6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6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6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6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6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6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6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6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6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6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6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6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6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6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6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6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6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6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6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6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6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6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6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6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6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6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6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6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6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6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6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6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6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6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6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6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6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6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6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6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6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6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6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6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6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6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6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6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6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6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6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6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6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6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6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6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6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6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6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6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6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6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6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6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6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6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6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6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6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6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6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6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6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6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6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6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6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6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6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6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6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6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6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6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6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6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6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6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6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6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6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6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6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6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6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6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6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6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6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6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6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6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6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6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6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6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6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6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6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6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6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6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6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6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6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6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6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6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6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6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6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6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6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6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6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6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6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6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6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6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6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6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6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6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6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6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6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6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6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6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6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6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6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6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6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6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6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6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6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6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6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6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6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6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6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6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6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6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6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6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6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6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6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6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6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6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6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6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6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6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6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6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6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6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6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6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6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6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6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6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6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6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6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6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6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6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6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6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6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6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6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6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6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6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6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6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6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6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6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6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6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6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6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6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6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6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6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6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6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6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6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6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6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6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6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6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6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6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6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6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6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6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6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6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6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6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6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6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6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6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6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6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6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6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6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6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6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6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6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6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6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6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6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6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6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6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6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6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6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6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6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6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6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6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6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6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6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6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6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6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6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6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6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6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6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6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6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6"/>
      <c r="C397" s="15"/>
      <c r="D397" s="15"/>
      <c r="E397" s="16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6"/>
      <c r="C398" s="15"/>
      <c r="D398" s="15"/>
      <c r="E398" s="16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6"/>
      <c r="C399" s="15"/>
      <c r="D399" s="15"/>
      <c r="E399" s="16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6"/>
      <c r="C400" s="15"/>
      <c r="D400" s="15"/>
      <c r="E400" s="16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6"/>
      <c r="C401" s="15"/>
      <c r="D401" s="15"/>
      <c r="E401" s="16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6"/>
      <c r="C402" s="15"/>
      <c r="D402" s="15"/>
      <c r="E402" s="16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6"/>
      <c r="C403" s="15"/>
      <c r="D403" s="15"/>
      <c r="E403" s="16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6"/>
      <c r="C404" s="15"/>
      <c r="D404" s="15"/>
      <c r="E404" s="16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6"/>
      <c r="C405" s="15"/>
      <c r="D405" s="15"/>
      <c r="E405" s="16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6"/>
      <c r="C406" s="15"/>
      <c r="D406" s="15"/>
      <c r="E406" s="16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6"/>
      <c r="C407" s="15"/>
      <c r="D407" s="15"/>
      <c r="E407" s="16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6"/>
      <c r="C408" s="15"/>
      <c r="D408" s="15"/>
      <c r="E408" s="16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6"/>
      <c r="C409" s="15"/>
      <c r="D409" s="15"/>
      <c r="E409" s="16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6"/>
      <c r="C410" s="15"/>
      <c r="D410" s="15"/>
      <c r="E410" s="16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6"/>
      <c r="C411" s="15"/>
      <c r="D411" s="15"/>
      <c r="E411" s="16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6"/>
      <c r="C412" s="15"/>
      <c r="D412" s="15"/>
      <c r="E412" s="16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6"/>
      <c r="C413" s="15"/>
      <c r="D413" s="15"/>
      <c r="E413" s="16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6"/>
      <c r="C414" s="15"/>
      <c r="D414" s="15"/>
      <c r="E414" s="16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6"/>
      <c r="C415" s="15"/>
      <c r="D415" s="15"/>
      <c r="E415" s="16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6"/>
      <c r="C416" s="15"/>
      <c r="D416" s="15"/>
      <c r="E416" s="16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6"/>
      <c r="C417" s="15"/>
      <c r="D417" s="15"/>
      <c r="E417" s="16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6"/>
      <c r="C418" s="15"/>
      <c r="D418" s="15"/>
      <c r="E418" s="16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6"/>
      <c r="C419" s="15"/>
      <c r="D419" s="15"/>
      <c r="E419" s="16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6"/>
      <c r="C420" s="15"/>
      <c r="D420" s="15"/>
      <c r="E420" s="16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6"/>
      <c r="C421" s="15"/>
      <c r="D421" s="15"/>
      <c r="E421" s="16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6"/>
      <c r="C422" s="15"/>
      <c r="D422" s="15"/>
      <c r="E422" s="16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6"/>
      <c r="C423" s="15"/>
      <c r="D423" s="15"/>
      <c r="E423" s="16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6"/>
      <c r="C424" s="15"/>
      <c r="D424" s="15"/>
      <c r="E424" s="16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6"/>
      <c r="C425" s="15"/>
      <c r="D425" s="15"/>
      <c r="E425" s="16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6"/>
      <c r="C426" s="15"/>
      <c r="D426" s="15"/>
      <c r="E426" s="16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6"/>
      <c r="C427" s="15"/>
      <c r="D427" s="15"/>
      <c r="E427" s="16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6"/>
      <c r="C428" s="15"/>
      <c r="D428" s="15"/>
      <c r="E428" s="16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6"/>
      <c r="C429" s="15"/>
      <c r="D429" s="15"/>
      <c r="E429" s="16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6"/>
      <c r="C430" s="15"/>
      <c r="D430" s="15"/>
      <c r="E430" s="16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6"/>
      <c r="C431" s="15"/>
      <c r="D431" s="15"/>
      <c r="E431" s="16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6"/>
      <c r="C432" s="15"/>
      <c r="D432" s="15"/>
      <c r="E432" s="16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6"/>
      <c r="C433" s="15"/>
      <c r="D433" s="15"/>
      <c r="E433" s="16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6"/>
      <c r="C434" s="15"/>
      <c r="D434" s="15"/>
      <c r="E434" s="16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6"/>
      <c r="C435" s="15"/>
      <c r="D435" s="15"/>
      <c r="E435" s="16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6"/>
      <c r="C436" s="15"/>
      <c r="D436" s="15"/>
      <c r="E436" s="16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6"/>
      <c r="C437" s="15"/>
      <c r="D437" s="15"/>
      <c r="E437" s="16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6"/>
      <c r="C438" s="15"/>
      <c r="D438" s="15"/>
      <c r="E438" s="16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6"/>
      <c r="C439" s="15"/>
      <c r="D439" s="15"/>
      <c r="E439" s="16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6"/>
      <c r="C440" s="15"/>
      <c r="D440" s="15"/>
      <c r="E440" s="16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6"/>
      <c r="C441" s="15"/>
      <c r="D441" s="15"/>
      <c r="E441" s="16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6"/>
      <c r="C442" s="15"/>
      <c r="D442" s="15"/>
      <c r="E442" s="16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6"/>
      <c r="C443" s="15"/>
      <c r="D443" s="15"/>
      <c r="E443" s="16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6"/>
      <c r="C444" s="15"/>
      <c r="D444" s="15"/>
      <c r="E444" s="16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6"/>
      <c r="C445" s="15"/>
      <c r="D445" s="15"/>
      <c r="E445" s="16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6"/>
      <c r="C446" s="15"/>
      <c r="D446" s="15"/>
      <c r="E446" s="16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6"/>
      <c r="C447" s="15"/>
      <c r="D447" s="15"/>
      <c r="E447" s="16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6"/>
      <c r="C448" s="15"/>
      <c r="D448" s="15"/>
      <c r="E448" s="16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6"/>
      <c r="C449" s="15"/>
      <c r="D449" s="15"/>
      <c r="E449" s="16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6"/>
      <c r="C450" s="15"/>
      <c r="D450" s="15"/>
      <c r="E450" s="16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6"/>
      <c r="C451" s="15"/>
      <c r="D451" s="15"/>
      <c r="E451" s="16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6"/>
      <c r="C452" s="15"/>
      <c r="D452" s="15"/>
      <c r="E452" s="16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6"/>
      <c r="C453" s="15"/>
      <c r="D453" s="15"/>
      <c r="E453" s="16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6"/>
      <c r="C454" s="15"/>
      <c r="D454" s="15"/>
      <c r="E454" s="16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6"/>
      <c r="C455" s="15"/>
      <c r="D455" s="15"/>
      <c r="E455" s="16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6"/>
      <c r="C456" s="15"/>
      <c r="D456" s="15"/>
      <c r="E456" s="16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6"/>
      <c r="C457" s="15"/>
      <c r="D457" s="15"/>
      <c r="E457" s="16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6"/>
      <c r="C458" s="15"/>
      <c r="D458" s="15"/>
      <c r="E458" s="16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6"/>
      <c r="C459" s="15"/>
      <c r="D459" s="15"/>
      <c r="E459" s="16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6"/>
      <c r="C460" s="15"/>
      <c r="D460" s="15"/>
      <c r="E460" s="16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6"/>
      <c r="C461" s="15"/>
      <c r="D461" s="15"/>
      <c r="E461" s="16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6"/>
      <c r="C462" s="15"/>
      <c r="D462" s="15"/>
      <c r="E462" s="16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6"/>
      <c r="C463" s="15"/>
      <c r="D463" s="15"/>
      <c r="E463" s="16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6"/>
      <c r="C464" s="15"/>
      <c r="D464" s="15"/>
      <c r="E464" s="16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6"/>
      <c r="C465" s="15"/>
      <c r="D465" s="15"/>
      <c r="E465" s="16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6"/>
      <c r="C466" s="15"/>
      <c r="D466" s="15"/>
      <c r="E466" s="16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6"/>
      <c r="C467" s="15"/>
      <c r="D467" s="15"/>
      <c r="E467" s="16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6"/>
      <c r="C468" s="15"/>
      <c r="D468" s="15"/>
      <c r="E468" s="16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6"/>
      <c r="C469" s="15"/>
      <c r="D469" s="15"/>
      <c r="E469" s="16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6"/>
      <c r="C470" s="15"/>
      <c r="D470" s="15"/>
      <c r="E470" s="16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6"/>
      <c r="C471" s="15"/>
      <c r="D471" s="15"/>
      <c r="E471" s="16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6"/>
      <c r="C472" s="15"/>
      <c r="D472" s="15"/>
      <c r="E472" s="16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6"/>
      <c r="C473" s="15"/>
      <c r="D473" s="15"/>
      <c r="E473" s="16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6"/>
      <c r="C474" s="15"/>
      <c r="D474" s="15"/>
      <c r="E474" s="16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6"/>
      <c r="C475" s="15"/>
      <c r="D475" s="15"/>
      <c r="E475" s="16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6"/>
      <c r="C476" s="15"/>
      <c r="D476" s="15"/>
      <c r="E476" s="16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6"/>
      <c r="C477" s="15"/>
      <c r="D477" s="15"/>
      <c r="E477" s="16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6"/>
      <c r="C478" s="15"/>
      <c r="D478" s="15"/>
      <c r="E478" s="16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6"/>
      <c r="C479" s="15"/>
      <c r="D479" s="15"/>
      <c r="E479" s="16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6"/>
      <c r="C480" s="15"/>
      <c r="D480" s="15"/>
      <c r="E480" s="16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6"/>
      <c r="C481" s="15"/>
      <c r="D481" s="15"/>
      <c r="E481" s="16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6"/>
      <c r="C482" s="15"/>
      <c r="D482" s="15"/>
      <c r="E482" s="16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6"/>
      <c r="C483" s="15"/>
      <c r="D483" s="15"/>
      <c r="E483" s="16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6"/>
      <c r="C484" s="15"/>
      <c r="D484" s="15"/>
      <c r="E484" s="16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6"/>
      <c r="C485" s="15"/>
      <c r="D485" s="15"/>
      <c r="E485" s="16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6"/>
      <c r="C486" s="15"/>
      <c r="D486" s="15"/>
      <c r="E486" s="16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6"/>
      <c r="C487" s="15"/>
      <c r="D487" s="15"/>
      <c r="E487" s="16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6"/>
      <c r="C488" s="15"/>
      <c r="D488" s="15"/>
      <c r="E488" s="16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6"/>
      <c r="C489" s="15"/>
      <c r="D489" s="15"/>
      <c r="E489" s="16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6"/>
      <c r="C490" s="15"/>
      <c r="D490" s="15"/>
      <c r="E490" s="16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6"/>
      <c r="C491" s="15"/>
      <c r="D491" s="15"/>
      <c r="E491" s="16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6"/>
      <c r="C492" s="15"/>
      <c r="D492" s="15"/>
      <c r="E492" s="16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6"/>
      <c r="C493" s="15"/>
      <c r="D493" s="15"/>
      <c r="E493" s="16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6"/>
      <c r="C494" s="15"/>
      <c r="D494" s="15"/>
      <c r="E494" s="16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6"/>
      <c r="C495" s="15"/>
      <c r="D495" s="15"/>
      <c r="E495" s="16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6"/>
      <c r="C496" s="15"/>
      <c r="D496" s="15"/>
      <c r="E496" s="16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6"/>
      <c r="C497" s="15"/>
      <c r="D497" s="15"/>
      <c r="E497" s="16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6"/>
      <c r="C498" s="15"/>
      <c r="D498" s="15"/>
      <c r="E498" s="16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6"/>
      <c r="C499" s="15"/>
      <c r="D499" s="15"/>
      <c r="E499" s="16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6"/>
      <c r="C500" s="15"/>
      <c r="D500" s="15"/>
      <c r="E500" s="16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6"/>
      <c r="C501" s="15"/>
      <c r="D501" s="15"/>
      <c r="E501" s="16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6"/>
      <c r="C502" s="15"/>
      <c r="D502" s="15"/>
      <c r="E502" s="16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6"/>
      <c r="C503" s="15"/>
      <c r="D503" s="15"/>
      <c r="E503" s="16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6"/>
      <c r="C504" s="15"/>
      <c r="D504" s="15"/>
      <c r="E504" s="16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6"/>
      <c r="C505" s="15"/>
      <c r="D505" s="15"/>
      <c r="E505" s="16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6"/>
      <c r="C506" s="15"/>
      <c r="D506" s="15"/>
      <c r="E506" s="16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6"/>
      <c r="C507" s="15"/>
      <c r="D507" s="15"/>
      <c r="E507" s="16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6"/>
      <c r="C508" s="15"/>
      <c r="D508" s="15"/>
      <c r="E508" s="16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6"/>
      <c r="C509" s="15"/>
      <c r="D509" s="15"/>
      <c r="E509" s="16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6"/>
      <c r="C510" s="15"/>
      <c r="D510" s="15"/>
      <c r="E510" s="16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6"/>
      <c r="C511" s="15"/>
      <c r="D511" s="15"/>
      <c r="E511" s="16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6"/>
      <c r="C512" s="15"/>
      <c r="D512" s="15"/>
      <c r="E512" s="16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6"/>
      <c r="C513" s="15"/>
      <c r="D513" s="15"/>
      <c r="E513" s="16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6"/>
      <c r="C514" s="15"/>
      <c r="D514" s="15"/>
      <c r="E514" s="16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6"/>
      <c r="C515" s="15"/>
      <c r="D515" s="15"/>
      <c r="E515" s="16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6"/>
      <c r="C516" s="15"/>
      <c r="D516" s="15"/>
      <c r="E516" s="16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6"/>
      <c r="C517" s="15"/>
      <c r="D517" s="15"/>
      <c r="E517" s="16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6"/>
      <c r="C518" s="15"/>
      <c r="D518" s="15"/>
      <c r="E518" s="16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6"/>
      <c r="C519" s="15"/>
      <c r="D519" s="15"/>
      <c r="E519" s="16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6"/>
      <c r="C520" s="15"/>
      <c r="D520" s="15"/>
      <c r="E520" s="16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6"/>
      <c r="C521" s="15"/>
      <c r="D521" s="15"/>
      <c r="E521" s="16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6"/>
      <c r="C522" s="15"/>
      <c r="D522" s="15"/>
      <c r="E522" s="16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6"/>
      <c r="C523" s="15"/>
      <c r="D523" s="15"/>
      <c r="E523" s="16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6"/>
      <c r="C524" s="15"/>
      <c r="D524" s="15"/>
      <c r="E524" s="16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6"/>
      <c r="C525" s="15"/>
      <c r="D525" s="15"/>
      <c r="E525" s="16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6"/>
      <c r="C526" s="15"/>
      <c r="D526" s="15"/>
      <c r="E526" s="16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6"/>
      <c r="C527" s="15"/>
      <c r="D527" s="15"/>
      <c r="E527" s="16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6"/>
      <c r="C528" s="15"/>
      <c r="D528" s="15"/>
      <c r="E528" s="16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6"/>
      <c r="C529" s="15"/>
      <c r="D529" s="15"/>
      <c r="E529" s="16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6"/>
      <c r="C530" s="15"/>
      <c r="D530" s="15"/>
      <c r="E530" s="16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6"/>
      <c r="C531" s="15"/>
      <c r="D531" s="15"/>
      <c r="E531" s="16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6"/>
      <c r="C532" s="15"/>
      <c r="D532" s="15"/>
      <c r="E532" s="16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6"/>
      <c r="C533" s="15"/>
      <c r="D533" s="15"/>
      <c r="E533" s="16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6"/>
      <c r="C534" s="15"/>
      <c r="D534" s="15"/>
      <c r="E534" s="16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6"/>
      <c r="C535" s="15"/>
      <c r="D535" s="15"/>
      <c r="E535" s="16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6"/>
      <c r="C536" s="15"/>
      <c r="D536" s="15"/>
      <c r="E536" s="16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6"/>
      <c r="C537" s="15"/>
      <c r="D537" s="15"/>
      <c r="E537" s="16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6"/>
      <c r="C538" s="15"/>
      <c r="D538" s="15"/>
      <c r="E538" s="16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6"/>
      <c r="C539" s="15"/>
      <c r="D539" s="15"/>
      <c r="E539" s="16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6"/>
      <c r="C540" s="15"/>
      <c r="D540" s="15"/>
      <c r="E540" s="16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6"/>
      <c r="C541" s="15"/>
      <c r="D541" s="15"/>
      <c r="E541" s="16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6"/>
      <c r="C542" s="15"/>
      <c r="D542" s="15"/>
      <c r="E542" s="16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6"/>
      <c r="C543" s="15"/>
      <c r="D543" s="15"/>
      <c r="E543" s="16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6"/>
      <c r="C544" s="15"/>
      <c r="D544" s="15"/>
      <c r="E544" s="16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6"/>
      <c r="C545" s="15"/>
      <c r="D545" s="15"/>
      <c r="E545" s="16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6"/>
      <c r="C546" s="15"/>
      <c r="D546" s="15"/>
      <c r="E546" s="16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6"/>
      <c r="C547" s="15"/>
      <c r="D547" s="15"/>
      <c r="E547" s="16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6"/>
      <c r="C548" s="15"/>
      <c r="D548" s="15"/>
      <c r="E548" s="16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6"/>
      <c r="C549" s="15"/>
      <c r="D549" s="15"/>
      <c r="E549" s="16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6"/>
      <c r="C550" s="15"/>
      <c r="D550" s="15"/>
      <c r="E550" s="16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6"/>
      <c r="C551" s="15"/>
      <c r="D551" s="15"/>
      <c r="E551" s="16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6"/>
      <c r="C552" s="15"/>
      <c r="D552" s="15"/>
      <c r="E552" s="16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6"/>
      <c r="C553" s="15"/>
      <c r="D553" s="15"/>
      <c r="E553" s="16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6"/>
      <c r="C554" s="15"/>
      <c r="D554" s="15"/>
      <c r="E554" s="16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6"/>
      <c r="C555" s="15"/>
      <c r="D555" s="15"/>
      <c r="E555" s="16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6"/>
      <c r="C556" s="15"/>
      <c r="D556" s="15"/>
      <c r="E556" s="16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6"/>
      <c r="C557" s="15"/>
      <c r="D557" s="15"/>
      <c r="E557" s="16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6"/>
      <c r="C558" s="15"/>
      <c r="D558" s="15"/>
      <c r="E558" s="16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6"/>
      <c r="C559" s="15"/>
      <c r="D559" s="15"/>
      <c r="E559" s="16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6"/>
      <c r="C560" s="15"/>
      <c r="D560" s="15"/>
      <c r="E560" s="16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6"/>
      <c r="C561" s="15"/>
      <c r="D561" s="15"/>
      <c r="E561" s="16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6"/>
      <c r="C562" s="15"/>
      <c r="D562" s="15"/>
      <c r="E562" s="16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6"/>
      <c r="C563" s="15"/>
      <c r="D563" s="15"/>
      <c r="E563" s="16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6"/>
      <c r="C564" s="15"/>
      <c r="D564" s="15"/>
      <c r="E564" s="16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6"/>
      <c r="C565" s="15"/>
      <c r="D565" s="15"/>
      <c r="E565" s="16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6"/>
      <c r="C566" s="15"/>
      <c r="D566" s="15"/>
      <c r="E566" s="16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6"/>
      <c r="C567" s="15"/>
      <c r="D567" s="15"/>
      <c r="E567" s="16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6"/>
      <c r="C568" s="15"/>
      <c r="D568" s="15"/>
      <c r="E568" s="16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6"/>
      <c r="C569" s="15"/>
      <c r="D569" s="15"/>
      <c r="E569" s="16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6"/>
      <c r="C570" s="15"/>
      <c r="D570" s="15"/>
      <c r="E570" s="16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6"/>
      <c r="C571" s="15"/>
      <c r="D571" s="15"/>
      <c r="E571" s="16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6"/>
      <c r="C572" s="15"/>
      <c r="D572" s="15"/>
      <c r="E572" s="16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6"/>
      <c r="C573" s="15"/>
      <c r="D573" s="15"/>
      <c r="E573" s="16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6"/>
      <c r="C574" s="15"/>
      <c r="D574" s="15"/>
      <c r="E574" s="16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6"/>
      <c r="C575" s="15"/>
      <c r="D575" s="15"/>
      <c r="E575" s="16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6"/>
      <c r="C576" s="15"/>
      <c r="D576" s="15"/>
      <c r="E576" s="16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6"/>
      <c r="C577" s="15"/>
      <c r="D577" s="15"/>
      <c r="E577" s="16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6"/>
      <c r="C578" s="15"/>
      <c r="D578" s="15"/>
      <c r="E578" s="16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6"/>
      <c r="C579" s="15"/>
      <c r="D579" s="15"/>
      <c r="E579" s="16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6"/>
      <c r="C580" s="15"/>
      <c r="D580" s="15"/>
      <c r="E580" s="16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6"/>
      <c r="C581" s="15"/>
      <c r="D581" s="15"/>
      <c r="E581" s="16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6"/>
      <c r="C582" s="15"/>
      <c r="D582" s="15"/>
      <c r="E582" s="16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6"/>
      <c r="C583" s="15"/>
      <c r="D583" s="15"/>
      <c r="E583" s="16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6"/>
      <c r="C584" s="15"/>
      <c r="D584" s="15"/>
      <c r="E584" s="16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6"/>
      <c r="C585" s="15"/>
      <c r="D585" s="15"/>
      <c r="E585" s="16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6"/>
      <c r="C586" s="15"/>
      <c r="D586" s="15"/>
      <c r="E586" s="16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6"/>
      <c r="C587" s="15"/>
      <c r="D587" s="15"/>
      <c r="E587" s="16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6"/>
      <c r="C588" s="15"/>
      <c r="D588" s="15"/>
      <c r="E588" s="16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6"/>
      <c r="C589" s="15"/>
      <c r="D589" s="15"/>
      <c r="E589" s="16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6"/>
      <c r="C590" s="15"/>
      <c r="D590" s="15"/>
      <c r="E590" s="16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6"/>
      <c r="C591" s="15"/>
      <c r="D591" s="15"/>
      <c r="E591" s="16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6"/>
      <c r="C592" s="15"/>
      <c r="D592" s="15"/>
      <c r="E592" s="16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6"/>
      <c r="C593" s="15"/>
      <c r="D593" s="15"/>
      <c r="E593" s="16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6"/>
      <c r="C594" s="15"/>
      <c r="D594" s="15"/>
      <c r="E594" s="16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6"/>
      <c r="C595" s="15"/>
      <c r="D595" s="15"/>
      <c r="E595" s="16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6"/>
      <c r="C596" s="15"/>
      <c r="D596" s="15"/>
      <c r="E596" s="16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6"/>
      <c r="C597" s="15"/>
      <c r="D597" s="15"/>
      <c r="E597" s="16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6"/>
      <c r="C598" s="15"/>
      <c r="D598" s="15"/>
      <c r="E598" s="16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6"/>
      <c r="C599" s="15"/>
      <c r="D599" s="15"/>
      <c r="E599" s="16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6"/>
      <c r="C600" s="15"/>
      <c r="D600" s="15"/>
      <c r="E600" s="16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6"/>
      <c r="C601" s="15"/>
      <c r="D601" s="15"/>
      <c r="E601" s="16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6"/>
      <c r="C602" s="15"/>
      <c r="D602" s="15"/>
      <c r="E602" s="16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6"/>
      <c r="C603" s="15"/>
      <c r="D603" s="15"/>
      <c r="E603" s="16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6"/>
      <c r="C604" s="15"/>
      <c r="D604" s="15"/>
      <c r="E604" s="16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6"/>
      <c r="C605" s="15"/>
      <c r="D605" s="15"/>
      <c r="E605" s="16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6"/>
      <c r="C606" s="15"/>
      <c r="D606" s="15"/>
      <c r="E606" s="16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6"/>
      <c r="C607" s="15"/>
      <c r="D607" s="15"/>
      <c r="E607" s="16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6"/>
      <c r="C608" s="15"/>
      <c r="D608" s="15"/>
      <c r="E608" s="16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6"/>
      <c r="C609" s="15"/>
      <c r="D609" s="15"/>
      <c r="E609" s="16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6"/>
      <c r="C610" s="15"/>
      <c r="D610" s="15"/>
      <c r="E610" s="16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6"/>
      <c r="C611" s="15"/>
      <c r="D611" s="15"/>
      <c r="E611" s="16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6"/>
      <c r="C612" s="15"/>
      <c r="D612" s="15"/>
      <c r="E612" s="16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6"/>
      <c r="C613" s="15"/>
      <c r="D613" s="15"/>
      <c r="E613" s="16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6"/>
      <c r="C614" s="15"/>
      <c r="D614" s="15"/>
      <c r="E614" s="16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6"/>
      <c r="C615" s="15"/>
      <c r="D615" s="15"/>
      <c r="E615" s="16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6"/>
      <c r="C616" s="15"/>
      <c r="D616" s="15"/>
      <c r="E616" s="16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6"/>
      <c r="C617" s="15"/>
      <c r="D617" s="15"/>
      <c r="E617" s="16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6"/>
      <c r="C618" s="15"/>
      <c r="D618" s="15"/>
      <c r="E618" s="16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6"/>
      <c r="C619" s="15"/>
      <c r="D619" s="15"/>
      <c r="E619" s="16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6"/>
      <c r="C620" s="15"/>
      <c r="D620" s="15"/>
      <c r="E620" s="16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6"/>
      <c r="C621" s="15"/>
      <c r="D621" s="15"/>
      <c r="E621" s="16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6"/>
      <c r="C622" s="15"/>
      <c r="D622" s="15"/>
      <c r="E622" s="16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6"/>
      <c r="C623" s="15"/>
      <c r="D623" s="15"/>
      <c r="E623" s="16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6"/>
      <c r="C624" s="15"/>
      <c r="D624" s="15"/>
      <c r="E624" s="16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6"/>
      <c r="C625" s="15"/>
      <c r="D625" s="15"/>
      <c r="E625" s="16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6"/>
      <c r="C626" s="15"/>
      <c r="D626" s="15"/>
      <c r="E626" s="16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6"/>
      <c r="C627" s="15"/>
      <c r="D627" s="15"/>
      <c r="E627" s="16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6"/>
      <c r="C628" s="15"/>
      <c r="D628" s="15"/>
      <c r="E628" s="16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6"/>
      <c r="C629" s="15"/>
      <c r="D629" s="15"/>
      <c r="E629" s="16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6"/>
      <c r="C630" s="15"/>
      <c r="D630" s="15"/>
      <c r="E630" s="16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6"/>
      <c r="C631" s="15"/>
      <c r="D631" s="15"/>
      <c r="E631" s="16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6"/>
      <c r="C632" s="15"/>
      <c r="D632" s="15"/>
      <c r="E632" s="16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6"/>
      <c r="C633" s="15"/>
      <c r="D633" s="15"/>
      <c r="E633" s="16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6"/>
      <c r="C634" s="15"/>
      <c r="D634" s="15"/>
      <c r="E634" s="16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6"/>
      <c r="C635" s="15"/>
      <c r="D635" s="15"/>
      <c r="E635" s="16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6"/>
      <c r="C636" s="15"/>
      <c r="D636" s="15"/>
      <c r="E636" s="16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6"/>
      <c r="C637" s="15"/>
      <c r="D637" s="15"/>
      <c r="E637" s="16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6"/>
      <c r="C638" s="15"/>
      <c r="D638" s="15"/>
      <c r="E638" s="16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6"/>
      <c r="C639" s="15"/>
      <c r="D639" s="15"/>
      <c r="E639" s="16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6"/>
      <c r="C640" s="15"/>
      <c r="D640" s="15"/>
      <c r="E640" s="16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6"/>
      <c r="C641" s="15"/>
      <c r="D641" s="15"/>
      <c r="E641" s="16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6"/>
      <c r="C642" s="15"/>
      <c r="D642" s="15"/>
      <c r="E642" s="16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6"/>
      <c r="C643" s="15"/>
      <c r="D643" s="15"/>
      <c r="E643" s="16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6"/>
      <c r="C644" s="15"/>
      <c r="D644" s="15"/>
      <c r="E644" s="16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6"/>
      <c r="C645" s="15"/>
      <c r="D645" s="15"/>
      <c r="E645" s="16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6"/>
      <c r="C646" s="15"/>
      <c r="D646" s="15"/>
      <c r="E646" s="16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6"/>
      <c r="C647" s="15"/>
      <c r="D647" s="15"/>
      <c r="E647" s="16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6"/>
      <c r="C648" s="15"/>
      <c r="D648" s="15"/>
      <c r="E648" s="16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6"/>
      <c r="C649" s="15"/>
      <c r="D649" s="15"/>
      <c r="E649" s="16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6"/>
      <c r="C650" s="15"/>
      <c r="D650" s="15"/>
      <c r="E650" s="16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6"/>
      <c r="C651" s="15"/>
      <c r="D651" s="15"/>
      <c r="E651" s="16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6"/>
      <c r="C652" s="15"/>
      <c r="D652" s="15"/>
      <c r="E652" s="16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6"/>
      <c r="C653" s="15"/>
      <c r="D653" s="15"/>
      <c r="E653" s="16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6"/>
      <c r="C654" s="15"/>
      <c r="D654" s="15"/>
      <c r="E654" s="16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6"/>
      <c r="C655" s="15"/>
      <c r="D655" s="15"/>
      <c r="E655" s="16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6"/>
      <c r="C656" s="15"/>
      <c r="D656" s="15"/>
      <c r="E656" s="16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6"/>
      <c r="C657" s="15"/>
      <c r="D657" s="15"/>
      <c r="E657" s="16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6"/>
      <c r="C658" s="15"/>
      <c r="D658" s="15"/>
      <c r="E658" s="16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6"/>
      <c r="C659" s="15"/>
      <c r="D659" s="15"/>
      <c r="E659" s="16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6"/>
      <c r="C660" s="15"/>
      <c r="D660" s="15"/>
      <c r="E660" s="16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6"/>
      <c r="C661" s="15"/>
      <c r="D661" s="15"/>
      <c r="E661" s="16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6"/>
      <c r="C662" s="15"/>
      <c r="D662" s="15"/>
      <c r="E662" s="16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6"/>
      <c r="C663" s="15"/>
      <c r="D663" s="15"/>
      <c r="E663" s="16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6"/>
      <c r="C664" s="15"/>
      <c r="D664" s="15"/>
      <c r="E664" s="16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6"/>
      <c r="C665" s="15"/>
      <c r="D665" s="15"/>
      <c r="E665" s="16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6"/>
      <c r="C666" s="15"/>
      <c r="D666" s="15"/>
      <c r="E666" s="16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6"/>
      <c r="C667" s="15"/>
      <c r="D667" s="15"/>
      <c r="E667" s="16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6"/>
      <c r="C668" s="15"/>
      <c r="D668" s="15"/>
      <c r="E668" s="16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6"/>
      <c r="C669" s="15"/>
      <c r="D669" s="15"/>
      <c r="E669" s="16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6"/>
      <c r="C670" s="15"/>
      <c r="D670" s="15"/>
      <c r="E670" s="16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6"/>
      <c r="C671" s="15"/>
      <c r="D671" s="15"/>
      <c r="E671" s="16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6"/>
      <c r="C672" s="15"/>
      <c r="D672" s="15"/>
      <c r="E672" s="16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6"/>
      <c r="C673" s="15"/>
      <c r="D673" s="15"/>
      <c r="E673" s="16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6"/>
      <c r="C674" s="15"/>
      <c r="D674" s="15"/>
      <c r="E674" s="16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6"/>
      <c r="C675" s="15"/>
      <c r="D675" s="15"/>
      <c r="E675" s="16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6"/>
      <c r="C676" s="15"/>
      <c r="D676" s="15"/>
      <c r="E676" s="16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6"/>
      <c r="C677" s="15"/>
      <c r="D677" s="15"/>
      <c r="E677" s="16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6"/>
      <c r="C678" s="15"/>
      <c r="D678" s="15"/>
      <c r="E678" s="16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6"/>
      <c r="C679" s="15"/>
      <c r="D679" s="15"/>
      <c r="E679" s="16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6"/>
      <c r="C680" s="15"/>
      <c r="D680" s="15"/>
      <c r="E680" s="16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6"/>
      <c r="C681" s="15"/>
      <c r="D681" s="15"/>
      <c r="E681" s="16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6"/>
      <c r="C682" s="15"/>
      <c r="D682" s="15"/>
      <c r="E682" s="16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6"/>
      <c r="C683" s="15"/>
      <c r="D683" s="15"/>
      <c r="E683" s="16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6"/>
      <c r="C684" s="15"/>
      <c r="D684" s="15"/>
      <c r="E684" s="16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6"/>
      <c r="C685" s="15"/>
      <c r="D685" s="15"/>
      <c r="E685" s="16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6"/>
      <c r="C686" s="15"/>
      <c r="D686" s="15"/>
      <c r="E686" s="16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6"/>
      <c r="C687" s="15"/>
      <c r="D687" s="15"/>
      <c r="E687" s="16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6"/>
      <c r="C688" s="15"/>
      <c r="D688" s="15"/>
      <c r="E688" s="16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6"/>
      <c r="C689" s="15"/>
      <c r="D689" s="15"/>
      <c r="E689" s="16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6"/>
      <c r="C690" s="15"/>
      <c r="D690" s="15"/>
      <c r="E690" s="16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6"/>
      <c r="C691" s="15"/>
      <c r="D691" s="15"/>
      <c r="E691" s="16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6"/>
      <c r="C692" s="15"/>
      <c r="D692" s="15"/>
      <c r="E692" s="16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6"/>
      <c r="C693" s="15"/>
      <c r="D693" s="15"/>
      <c r="E693" s="16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6"/>
      <c r="C694" s="15"/>
      <c r="D694" s="15"/>
      <c r="E694" s="16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6"/>
      <c r="C695" s="15"/>
      <c r="D695" s="15"/>
      <c r="E695" s="16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6"/>
      <c r="C696" s="15"/>
      <c r="D696" s="15"/>
      <c r="E696" s="16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6"/>
      <c r="C697" s="15"/>
      <c r="D697" s="15"/>
      <c r="E697" s="16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6"/>
      <c r="C698" s="15"/>
      <c r="D698" s="15"/>
      <c r="E698" s="16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6"/>
      <c r="C699" s="15"/>
      <c r="D699" s="15"/>
      <c r="E699" s="16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6"/>
      <c r="C700" s="15"/>
      <c r="D700" s="15"/>
      <c r="E700" s="16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6"/>
      <c r="C701" s="15"/>
      <c r="D701" s="15"/>
      <c r="E701" s="16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6"/>
      <c r="C702" s="15"/>
      <c r="D702" s="15"/>
      <c r="E702" s="16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6"/>
      <c r="C703" s="15"/>
      <c r="D703" s="15"/>
      <c r="E703" s="16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6"/>
      <c r="C704" s="15"/>
      <c r="D704" s="15"/>
      <c r="E704" s="16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6"/>
      <c r="C705" s="15"/>
      <c r="D705" s="15"/>
      <c r="E705" s="16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6"/>
      <c r="C706" s="15"/>
      <c r="D706" s="15"/>
      <c r="E706" s="16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6"/>
      <c r="C707" s="15"/>
      <c r="D707" s="15"/>
      <c r="E707" s="16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6"/>
      <c r="C708" s="15"/>
      <c r="D708" s="15"/>
      <c r="E708" s="16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6"/>
      <c r="C709" s="15"/>
      <c r="D709" s="15"/>
      <c r="E709" s="16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6"/>
      <c r="C710" s="15"/>
      <c r="D710" s="15"/>
      <c r="E710" s="16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6"/>
      <c r="C711" s="15"/>
      <c r="D711" s="15"/>
      <c r="E711" s="16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6"/>
      <c r="C712" s="15"/>
      <c r="D712" s="15"/>
      <c r="E712" s="16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6"/>
      <c r="C713" s="15"/>
      <c r="D713" s="15"/>
      <c r="E713" s="16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6"/>
      <c r="C714" s="15"/>
      <c r="D714" s="15"/>
      <c r="E714" s="16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6"/>
      <c r="C715" s="15"/>
      <c r="D715" s="15"/>
      <c r="E715" s="16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6"/>
      <c r="C716" s="15"/>
      <c r="D716" s="15"/>
      <c r="E716" s="16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6"/>
      <c r="C717" s="15"/>
      <c r="D717" s="15"/>
      <c r="E717" s="16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6"/>
      <c r="C718" s="15"/>
      <c r="D718" s="15"/>
      <c r="E718" s="16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6"/>
      <c r="C719" s="15"/>
      <c r="D719" s="15"/>
      <c r="E719" s="16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6"/>
      <c r="C720" s="15"/>
      <c r="D720" s="15"/>
      <c r="E720" s="16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6"/>
      <c r="C721" s="15"/>
      <c r="D721" s="15"/>
      <c r="E721" s="16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6"/>
      <c r="C722" s="15"/>
      <c r="D722" s="15"/>
      <c r="E722" s="16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6"/>
      <c r="C723" s="15"/>
      <c r="D723" s="15"/>
      <c r="E723" s="16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6"/>
      <c r="C724" s="15"/>
      <c r="D724" s="15"/>
      <c r="E724" s="16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6"/>
      <c r="C725" s="15"/>
      <c r="D725" s="15"/>
      <c r="E725" s="16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6"/>
      <c r="C726" s="15"/>
      <c r="D726" s="15"/>
      <c r="E726" s="16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6"/>
      <c r="C727" s="15"/>
      <c r="D727" s="15"/>
      <c r="E727" s="16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6"/>
      <c r="C728" s="15"/>
      <c r="D728" s="15"/>
      <c r="E728" s="16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6"/>
      <c r="C729" s="15"/>
      <c r="D729" s="15"/>
      <c r="E729" s="16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6"/>
      <c r="C730" s="15"/>
      <c r="D730" s="15"/>
      <c r="E730" s="16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6"/>
      <c r="C731" s="15"/>
      <c r="D731" s="15"/>
      <c r="E731" s="16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6"/>
      <c r="C732" s="15"/>
      <c r="D732" s="15"/>
      <c r="E732" s="16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6"/>
      <c r="C733" s="15"/>
      <c r="D733" s="15"/>
      <c r="E733" s="16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6"/>
      <c r="C734" s="15"/>
      <c r="D734" s="15"/>
      <c r="E734" s="16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6"/>
      <c r="C735" s="15"/>
      <c r="D735" s="15"/>
      <c r="E735" s="16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6"/>
      <c r="C736" s="15"/>
      <c r="D736" s="15"/>
      <c r="E736" s="16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6"/>
      <c r="C737" s="15"/>
      <c r="D737" s="15"/>
      <c r="E737" s="16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6"/>
      <c r="C738" s="15"/>
      <c r="D738" s="15"/>
      <c r="E738" s="16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6"/>
      <c r="C739" s="15"/>
      <c r="D739" s="15"/>
      <c r="E739" s="16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6"/>
      <c r="C740" s="15"/>
      <c r="D740" s="15"/>
      <c r="E740" s="16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6"/>
      <c r="C741" s="15"/>
      <c r="D741" s="15"/>
      <c r="E741" s="16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6"/>
      <c r="C742" s="15"/>
      <c r="D742" s="15"/>
      <c r="E742" s="16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6"/>
      <c r="C743" s="15"/>
      <c r="D743" s="15"/>
      <c r="E743" s="16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6"/>
      <c r="C744" s="15"/>
      <c r="D744" s="15"/>
      <c r="E744" s="16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6"/>
      <c r="C745" s="15"/>
      <c r="D745" s="15"/>
      <c r="E745" s="16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6"/>
      <c r="C746" s="15"/>
      <c r="D746" s="15"/>
      <c r="E746" s="16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6"/>
      <c r="C747" s="15"/>
      <c r="D747" s="15"/>
      <c r="E747" s="16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6"/>
      <c r="C748" s="15"/>
      <c r="D748" s="15"/>
      <c r="E748" s="16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6"/>
      <c r="C749" s="15"/>
      <c r="D749" s="15"/>
      <c r="E749" s="16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6"/>
      <c r="C750" s="15"/>
      <c r="D750" s="15"/>
      <c r="E750" s="16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6"/>
      <c r="C751" s="15"/>
      <c r="D751" s="15"/>
      <c r="E751" s="16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6"/>
      <c r="C752" s="15"/>
      <c r="D752" s="15"/>
      <c r="E752" s="16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6"/>
      <c r="C753" s="15"/>
      <c r="D753" s="15"/>
      <c r="E753" s="16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6"/>
      <c r="C754" s="15"/>
      <c r="D754" s="15"/>
      <c r="E754" s="16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6"/>
      <c r="C755" s="15"/>
      <c r="D755" s="15"/>
      <c r="E755" s="16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6"/>
      <c r="C756" s="15"/>
      <c r="D756" s="15"/>
      <c r="E756" s="16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6"/>
      <c r="C757" s="15"/>
      <c r="D757" s="15"/>
      <c r="E757" s="16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6"/>
      <c r="C758" s="15"/>
      <c r="D758" s="15"/>
      <c r="E758" s="16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6"/>
      <c r="C759" s="15"/>
      <c r="D759" s="15"/>
      <c r="E759" s="16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6"/>
      <c r="C760" s="15"/>
      <c r="D760" s="15"/>
      <c r="E760" s="16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6"/>
      <c r="C761" s="15"/>
      <c r="D761" s="15"/>
      <c r="E761" s="16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6"/>
      <c r="C762" s="15"/>
      <c r="D762" s="15"/>
      <c r="E762" s="16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6"/>
      <c r="C763" s="15"/>
      <c r="D763" s="15"/>
      <c r="E763" s="16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6"/>
      <c r="C764" s="15"/>
      <c r="D764" s="15"/>
      <c r="E764" s="16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6"/>
      <c r="C765" s="15"/>
      <c r="D765" s="15"/>
      <c r="E765" s="16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6"/>
      <c r="C766" s="15"/>
      <c r="D766" s="15"/>
      <c r="E766" s="16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6"/>
      <c r="C767" s="15"/>
      <c r="D767" s="15"/>
      <c r="E767" s="16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6"/>
      <c r="C768" s="15"/>
      <c r="D768" s="15"/>
      <c r="E768" s="16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6"/>
      <c r="C769" s="15"/>
      <c r="D769" s="15"/>
      <c r="E769" s="16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6"/>
      <c r="C770" s="15"/>
      <c r="D770" s="15"/>
      <c r="E770" s="16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6"/>
      <c r="C771" s="15"/>
      <c r="D771" s="15"/>
      <c r="E771" s="16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6"/>
      <c r="C772" s="15"/>
      <c r="D772" s="15"/>
      <c r="E772" s="16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6"/>
      <c r="C773" s="15"/>
      <c r="D773" s="15"/>
      <c r="E773" s="16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6"/>
      <c r="C774" s="15"/>
      <c r="D774" s="15"/>
      <c r="E774" s="16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6"/>
      <c r="C775" s="15"/>
      <c r="D775" s="15"/>
      <c r="E775" s="16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6"/>
      <c r="C776" s="15"/>
      <c r="D776" s="15"/>
      <c r="E776" s="16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6"/>
      <c r="C777" s="15"/>
      <c r="D777" s="15"/>
      <c r="E777" s="16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6"/>
      <c r="C778" s="15"/>
      <c r="D778" s="15"/>
      <c r="E778" s="16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6"/>
      <c r="C779" s="15"/>
      <c r="D779" s="15"/>
      <c r="E779" s="16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6"/>
      <c r="C780" s="15"/>
      <c r="D780" s="15"/>
      <c r="E780" s="16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6"/>
      <c r="C781" s="15"/>
      <c r="D781" s="15"/>
      <c r="E781" s="16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6"/>
      <c r="C782" s="15"/>
      <c r="D782" s="15"/>
      <c r="E782" s="16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6"/>
      <c r="C783" s="15"/>
      <c r="D783" s="15"/>
      <c r="E783" s="16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6"/>
      <c r="C784" s="15"/>
      <c r="D784" s="15"/>
      <c r="E784" s="16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6"/>
      <c r="C785" s="15"/>
      <c r="D785" s="15"/>
      <c r="E785" s="16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6"/>
      <c r="C786" s="15"/>
      <c r="D786" s="15"/>
      <c r="E786" s="16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6"/>
      <c r="C787" s="15"/>
      <c r="D787" s="15"/>
      <c r="E787" s="16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6"/>
      <c r="C788" s="15"/>
      <c r="D788" s="15"/>
      <c r="E788" s="16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6"/>
      <c r="C789" s="15"/>
      <c r="D789" s="15"/>
      <c r="E789" s="16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6"/>
      <c r="C790" s="15"/>
      <c r="D790" s="15"/>
      <c r="E790" s="16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6"/>
      <c r="C791" s="15"/>
      <c r="D791" s="15"/>
      <c r="E791" s="16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6"/>
      <c r="C792" s="15"/>
      <c r="D792" s="15"/>
      <c r="E792" s="16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6"/>
      <c r="C793" s="15"/>
      <c r="D793" s="15"/>
      <c r="E793" s="16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6"/>
      <c r="C794" s="15"/>
      <c r="D794" s="15"/>
      <c r="E794" s="16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6"/>
      <c r="C795" s="15"/>
      <c r="D795" s="15"/>
      <c r="E795" s="16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6"/>
      <c r="C796" s="15"/>
      <c r="D796" s="15"/>
      <c r="E796" s="16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6"/>
      <c r="C797" s="15"/>
      <c r="D797" s="15"/>
      <c r="E797" s="16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6"/>
      <c r="C798" s="15"/>
      <c r="D798" s="15"/>
      <c r="E798" s="16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6"/>
      <c r="C799" s="15"/>
      <c r="D799" s="15"/>
      <c r="E799" s="16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6"/>
      <c r="C800" s="15"/>
      <c r="D800" s="15"/>
      <c r="E800" s="16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6"/>
      <c r="C801" s="15"/>
      <c r="D801" s="15"/>
      <c r="E801" s="16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6"/>
      <c r="C802" s="15"/>
      <c r="D802" s="15"/>
      <c r="E802" s="16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6"/>
      <c r="C803" s="15"/>
      <c r="D803" s="15"/>
      <c r="E803" s="16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6"/>
      <c r="C804" s="15"/>
      <c r="D804" s="15"/>
      <c r="E804" s="16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6"/>
      <c r="C805" s="15"/>
      <c r="D805" s="15"/>
      <c r="E805" s="16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6"/>
      <c r="C806" s="15"/>
      <c r="D806" s="15"/>
      <c r="E806" s="16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6"/>
      <c r="C807" s="15"/>
      <c r="D807" s="15"/>
      <c r="E807" s="16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6"/>
      <c r="C808" s="15"/>
      <c r="D808" s="15"/>
      <c r="E808" s="16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6"/>
      <c r="C809" s="15"/>
      <c r="D809" s="15"/>
      <c r="E809" s="16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6"/>
      <c r="C810" s="15"/>
      <c r="D810" s="15"/>
      <c r="E810" s="16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6"/>
      <c r="C811" s="15"/>
      <c r="D811" s="15"/>
      <c r="E811" s="16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6"/>
      <c r="C812" s="15"/>
      <c r="D812" s="15"/>
      <c r="E812" s="16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6"/>
      <c r="C813" s="15"/>
      <c r="D813" s="15"/>
      <c r="E813" s="16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6"/>
      <c r="C814" s="15"/>
      <c r="D814" s="15"/>
      <c r="E814" s="16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6"/>
      <c r="C815" s="15"/>
      <c r="D815" s="15"/>
      <c r="E815" s="16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6"/>
      <c r="C816" s="15"/>
      <c r="D816" s="15"/>
      <c r="E816" s="16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6"/>
      <c r="C817" s="15"/>
      <c r="D817" s="15"/>
      <c r="E817" s="16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6"/>
      <c r="C818" s="15"/>
      <c r="D818" s="15"/>
      <c r="E818" s="16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6"/>
      <c r="C819" s="15"/>
      <c r="D819" s="15"/>
      <c r="E819" s="16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6"/>
      <c r="C820" s="15"/>
      <c r="D820" s="15"/>
      <c r="E820" s="16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6"/>
      <c r="C821" s="15"/>
      <c r="D821" s="15"/>
      <c r="E821" s="16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6"/>
      <c r="C822" s="15"/>
      <c r="D822" s="15"/>
      <c r="E822" s="16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6"/>
      <c r="C823" s="15"/>
      <c r="D823" s="15"/>
      <c r="E823" s="16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6"/>
      <c r="C824" s="15"/>
      <c r="D824" s="15"/>
      <c r="E824" s="16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6"/>
      <c r="C825" s="15"/>
      <c r="D825" s="15"/>
      <c r="E825" s="16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6"/>
      <c r="C826" s="15"/>
      <c r="D826" s="15"/>
      <c r="E826" s="16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6"/>
      <c r="C827" s="15"/>
      <c r="D827" s="15"/>
      <c r="E827" s="16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6"/>
      <c r="C828" s="15"/>
      <c r="D828" s="15"/>
      <c r="E828" s="16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6"/>
      <c r="C829" s="15"/>
      <c r="D829" s="15"/>
      <c r="E829" s="16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6"/>
      <c r="C830" s="15"/>
      <c r="D830" s="15"/>
      <c r="E830" s="16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6"/>
      <c r="C831" s="15"/>
      <c r="D831" s="15"/>
      <c r="E831" s="16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6"/>
      <c r="C832" s="15"/>
      <c r="D832" s="15"/>
      <c r="E832" s="16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6"/>
      <c r="C833" s="15"/>
      <c r="D833" s="15"/>
      <c r="E833" s="16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6"/>
      <c r="C834" s="15"/>
      <c r="D834" s="15"/>
      <c r="E834" s="16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6"/>
      <c r="C835" s="15"/>
      <c r="D835" s="15"/>
      <c r="E835" s="16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6"/>
      <c r="C836" s="15"/>
      <c r="D836" s="15"/>
      <c r="E836" s="16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6"/>
      <c r="C837" s="15"/>
      <c r="D837" s="15"/>
      <c r="E837" s="16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6"/>
      <c r="C838" s="15"/>
      <c r="D838" s="15"/>
      <c r="E838" s="16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6"/>
      <c r="C839" s="15"/>
      <c r="D839" s="15"/>
      <c r="E839" s="16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6"/>
      <c r="C840" s="15"/>
      <c r="D840" s="15"/>
      <c r="E840" s="16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6"/>
      <c r="C841" s="15"/>
      <c r="D841" s="15"/>
      <c r="E841" s="16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6"/>
      <c r="C842" s="15"/>
      <c r="D842" s="15"/>
      <c r="E842" s="16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6"/>
      <c r="C843" s="15"/>
      <c r="D843" s="15"/>
      <c r="E843" s="16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6"/>
      <c r="C844" s="15"/>
      <c r="D844" s="15"/>
      <c r="E844" s="16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6"/>
      <c r="C845" s="15"/>
      <c r="D845" s="15"/>
      <c r="E845" s="16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6"/>
      <c r="C846" s="15"/>
      <c r="D846" s="15"/>
      <c r="E846" s="16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6"/>
      <c r="C847" s="15"/>
      <c r="D847" s="15"/>
      <c r="E847" s="16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6"/>
      <c r="C848" s="15"/>
      <c r="D848" s="15"/>
      <c r="E848" s="16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6"/>
      <c r="C849" s="15"/>
      <c r="D849" s="15"/>
      <c r="E849" s="16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6"/>
      <c r="C850" s="15"/>
      <c r="D850" s="15"/>
      <c r="E850" s="16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6"/>
      <c r="C851" s="15"/>
      <c r="D851" s="15"/>
      <c r="E851" s="16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6"/>
      <c r="C852" s="15"/>
      <c r="D852" s="15"/>
      <c r="E852" s="16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6"/>
      <c r="C853" s="15"/>
      <c r="D853" s="15"/>
      <c r="E853" s="16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6"/>
      <c r="C854" s="15"/>
      <c r="D854" s="15"/>
      <c r="E854" s="16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6"/>
      <c r="C855" s="15"/>
      <c r="D855" s="15"/>
      <c r="E855" s="16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6"/>
      <c r="C856" s="15"/>
      <c r="D856" s="15"/>
      <c r="E856" s="16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6"/>
      <c r="C857" s="15"/>
      <c r="D857" s="15"/>
      <c r="E857" s="16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6"/>
      <c r="C858" s="15"/>
      <c r="D858" s="15"/>
      <c r="E858" s="16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6"/>
      <c r="C859" s="15"/>
      <c r="D859" s="15"/>
      <c r="E859" s="16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6"/>
      <c r="C860" s="15"/>
      <c r="D860" s="15"/>
      <c r="E860" s="16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6"/>
      <c r="C861" s="15"/>
      <c r="D861" s="15"/>
      <c r="E861" s="16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6"/>
      <c r="C862" s="15"/>
      <c r="D862" s="15"/>
      <c r="E862" s="16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6"/>
      <c r="C863" s="15"/>
      <c r="D863" s="15"/>
      <c r="E863" s="16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6"/>
      <c r="C864" s="15"/>
      <c r="D864" s="15"/>
      <c r="E864" s="16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6"/>
      <c r="C865" s="15"/>
      <c r="D865" s="15"/>
      <c r="E865" s="16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6"/>
      <c r="C866" s="15"/>
      <c r="D866" s="15"/>
      <c r="E866" s="16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6"/>
      <c r="C867" s="15"/>
      <c r="D867" s="15"/>
      <c r="E867" s="16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6"/>
      <c r="C868" s="15"/>
      <c r="D868" s="15"/>
      <c r="E868" s="16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6"/>
      <c r="C869" s="15"/>
      <c r="D869" s="15"/>
      <c r="E869" s="16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6"/>
      <c r="C870" s="15"/>
      <c r="D870" s="15"/>
      <c r="E870" s="16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6"/>
      <c r="C871" s="15"/>
      <c r="D871" s="15"/>
      <c r="E871" s="16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6"/>
      <c r="C872" s="15"/>
      <c r="D872" s="15"/>
      <c r="E872" s="16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6"/>
      <c r="C873" s="15"/>
      <c r="D873" s="15"/>
      <c r="E873" s="16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6"/>
      <c r="C874" s="15"/>
      <c r="D874" s="15"/>
      <c r="E874" s="16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6"/>
      <c r="C875" s="15"/>
      <c r="D875" s="15"/>
      <c r="E875" s="16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6"/>
      <c r="C876" s="15"/>
      <c r="D876" s="15"/>
      <c r="E876" s="16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6"/>
      <c r="C877" s="15"/>
      <c r="D877" s="15"/>
      <c r="E877" s="16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6"/>
      <c r="C878" s="15"/>
      <c r="D878" s="15"/>
      <c r="E878" s="16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6"/>
      <c r="C879" s="15"/>
      <c r="D879" s="15"/>
      <c r="E879" s="16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6"/>
      <c r="C880" s="15"/>
      <c r="D880" s="15"/>
      <c r="E880" s="16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6"/>
      <c r="C881" s="15"/>
      <c r="D881" s="15"/>
      <c r="E881" s="16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6"/>
      <c r="C882" s="15"/>
      <c r="D882" s="15"/>
      <c r="E882" s="16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6"/>
      <c r="C883" s="15"/>
      <c r="D883" s="15"/>
      <c r="E883" s="16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6"/>
      <c r="C884" s="15"/>
      <c r="D884" s="15"/>
      <c r="E884" s="16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6"/>
      <c r="C885" s="15"/>
      <c r="D885" s="15"/>
      <c r="E885" s="16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6"/>
      <c r="C886" s="15"/>
      <c r="D886" s="15"/>
      <c r="E886" s="16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6"/>
      <c r="C887" s="15"/>
      <c r="D887" s="15"/>
      <c r="E887" s="16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6"/>
      <c r="C888" s="15"/>
      <c r="D888" s="15"/>
      <c r="E888" s="16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6"/>
      <c r="C889" s="15"/>
      <c r="D889" s="15"/>
      <c r="E889" s="16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6"/>
      <c r="C890" s="15"/>
      <c r="D890" s="15"/>
      <c r="E890" s="16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6"/>
      <c r="C891" s="15"/>
      <c r="D891" s="15"/>
      <c r="E891" s="16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6"/>
      <c r="C892" s="15"/>
      <c r="D892" s="15"/>
      <c r="E892" s="16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6"/>
      <c r="C893" s="15"/>
      <c r="D893" s="15"/>
      <c r="E893" s="16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6"/>
      <c r="C894" s="15"/>
      <c r="D894" s="15"/>
      <c r="E894" s="16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6"/>
      <c r="C895" s="15"/>
      <c r="D895" s="15"/>
      <c r="E895" s="16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6"/>
      <c r="C896" s="15"/>
      <c r="D896" s="15"/>
      <c r="E896" s="16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6"/>
      <c r="C897" s="15"/>
      <c r="D897" s="15"/>
      <c r="E897" s="16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6"/>
      <c r="C898" s="15"/>
      <c r="D898" s="15"/>
      <c r="E898" s="16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6"/>
      <c r="C899" s="15"/>
      <c r="D899" s="15"/>
      <c r="E899" s="16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6"/>
      <c r="C900" s="15"/>
      <c r="D900" s="15"/>
      <c r="E900" s="16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6"/>
      <c r="C901" s="15"/>
      <c r="D901" s="15"/>
      <c r="E901" s="16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6"/>
      <c r="C902" s="15"/>
      <c r="D902" s="15"/>
      <c r="E902" s="16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6"/>
      <c r="C903" s="15"/>
      <c r="D903" s="15"/>
      <c r="E903" s="16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6"/>
      <c r="C904" s="15"/>
      <c r="D904" s="15"/>
      <c r="E904" s="16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6"/>
      <c r="C905" s="15"/>
      <c r="D905" s="15"/>
      <c r="E905" s="16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6"/>
      <c r="C906" s="15"/>
      <c r="D906" s="15"/>
      <c r="E906" s="16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6"/>
      <c r="C907" s="15"/>
      <c r="D907" s="15"/>
      <c r="E907" s="16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6"/>
      <c r="C908" s="15"/>
      <c r="D908" s="15"/>
      <c r="E908" s="16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6"/>
      <c r="C909" s="15"/>
      <c r="D909" s="15"/>
      <c r="E909" s="16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6"/>
      <c r="C910" s="15"/>
      <c r="D910" s="15"/>
      <c r="E910" s="16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6"/>
      <c r="C911" s="15"/>
      <c r="D911" s="15"/>
      <c r="E911" s="16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6"/>
      <c r="C912" s="15"/>
      <c r="D912" s="15"/>
      <c r="E912" s="16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6"/>
      <c r="C913" s="15"/>
      <c r="D913" s="15"/>
      <c r="E913" s="16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6"/>
      <c r="C914" s="15"/>
      <c r="D914" s="15"/>
      <c r="E914" s="16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6"/>
      <c r="C915" s="15"/>
      <c r="D915" s="15"/>
      <c r="E915" s="16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6"/>
      <c r="C916" s="15"/>
      <c r="D916" s="15"/>
      <c r="E916" s="16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6"/>
      <c r="C917" s="15"/>
      <c r="D917" s="15"/>
      <c r="E917" s="16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6"/>
      <c r="C918" s="15"/>
      <c r="D918" s="15"/>
      <c r="E918" s="16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6"/>
      <c r="C919" s="15"/>
      <c r="D919" s="15"/>
      <c r="E919" s="16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6"/>
      <c r="C920" s="15"/>
      <c r="D920" s="15"/>
      <c r="E920" s="16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6"/>
      <c r="C921" s="15"/>
      <c r="D921" s="15"/>
      <c r="E921" s="16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6"/>
      <c r="C922" s="15"/>
      <c r="D922" s="15"/>
      <c r="E922" s="16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6"/>
      <c r="C923" s="15"/>
      <c r="D923" s="15"/>
      <c r="E923" s="16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6"/>
      <c r="C924" s="15"/>
      <c r="D924" s="15"/>
      <c r="E924" s="16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6"/>
      <c r="C925" s="15"/>
      <c r="D925" s="15"/>
      <c r="E925" s="16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6"/>
      <c r="C926" s="15"/>
      <c r="D926" s="15"/>
      <c r="E926" s="16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6"/>
      <c r="C927" s="15"/>
      <c r="D927" s="15"/>
      <c r="E927" s="16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6"/>
      <c r="C928" s="15"/>
      <c r="D928" s="15"/>
      <c r="E928" s="16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6"/>
      <c r="C929" s="15"/>
      <c r="D929" s="15"/>
      <c r="E929" s="16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6"/>
      <c r="C930" s="15"/>
      <c r="D930" s="15"/>
      <c r="E930" s="16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6"/>
      <c r="C931" s="15"/>
      <c r="D931" s="15"/>
      <c r="E931" s="16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6"/>
      <c r="C932" s="15"/>
      <c r="D932" s="15"/>
      <c r="E932" s="16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6"/>
      <c r="C933" s="15"/>
      <c r="D933" s="15"/>
      <c r="E933" s="16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6"/>
      <c r="C934" s="15"/>
      <c r="D934" s="15"/>
      <c r="E934" s="16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6"/>
      <c r="C935" s="15"/>
      <c r="D935" s="15"/>
      <c r="E935" s="16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6"/>
      <c r="C936" s="15"/>
      <c r="D936" s="15"/>
      <c r="E936" s="16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6"/>
      <c r="C937" s="15"/>
      <c r="D937" s="15"/>
      <c r="E937" s="16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6"/>
      <c r="C938" s="15"/>
      <c r="D938" s="15"/>
      <c r="E938" s="16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6"/>
      <c r="C939" s="15"/>
      <c r="D939" s="15"/>
      <c r="E939" s="16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6"/>
      <c r="C940" s="15"/>
      <c r="D940" s="15"/>
      <c r="E940" s="16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6"/>
      <c r="C941" s="15"/>
      <c r="D941" s="15"/>
      <c r="E941" s="16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6"/>
      <c r="C942" s="15"/>
      <c r="D942" s="15"/>
      <c r="E942" s="16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6"/>
      <c r="C943" s="15"/>
      <c r="D943" s="15"/>
      <c r="E943" s="16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6"/>
      <c r="C944" s="15"/>
      <c r="D944" s="15"/>
      <c r="E944" s="16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6"/>
      <c r="C945" s="15"/>
      <c r="D945" s="15"/>
      <c r="E945" s="16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6"/>
      <c r="C946" s="15"/>
      <c r="D946" s="15"/>
      <c r="E946" s="16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6"/>
      <c r="C947" s="15"/>
      <c r="D947" s="15"/>
      <c r="E947" s="16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6"/>
      <c r="C948" s="15"/>
      <c r="D948" s="15"/>
      <c r="E948" s="16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6"/>
      <c r="C949" s="15"/>
      <c r="D949" s="15"/>
      <c r="E949" s="16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6"/>
      <c r="C950" s="15"/>
      <c r="D950" s="15"/>
      <c r="E950" s="16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6"/>
      <c r="C951" s="15"/>
      <c r="D951" s="15"/>
      <c r="E951" s="16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6"/>
      <c r="C952" s="15"/>
      <c r="D952" s="15"/>
      <c r="E952" s="16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6"/>
      <c r="C953" s="15"/>
      <c r="D953" s="15"/>
      <c r="E953" s="16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6"/>
      <c r="C954" s="15"/>
      <c r="D954" s="15"/>
      <c r="E954" s="16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6"/>
      <c r="C955" s="15"/>
      <c r="D955" s="15"/>
      <c r="E955" s="16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6"/>
      <c r="C956" s="15"/>
      <c r="D956" s="15"/>
      <c r="E956" s="16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6"/>
      <c r="C957" s="15"/>
      <c r="D957" s="15"/>
      <c r="E957" s="16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6"/>
      <c r="C958" s="15"/>
      <c r="D958" s="15"/>
      <c r="E958" s="16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6"/>
      <c r="C959" s="15"/>
      <c r="D959" s="15"/>
      <c r="E959" s="16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6"/>
      <c r="C960" s="15"/>
      <c r="D960" s="15"/>
      <c r="E960" s="16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6"/>
      <c r="C961" s="15"/>
      <c r="D961" s="15"/>
      <c r="E961" s="16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6"/>
      <c r="C962" s="15"/>
      <c r="D962" s="15"/>
      <c r="E962" s="16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6"/>
      <c r="C963" s="15"/>
      <c r="D963" s="15"/>
      <c r="E963" s="16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6"/>
      <c r="C964" s="15"/>
      <c r="D964" s="15"/>
      <c r="E964" s="16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6"/>
      <c r="C965" s="15"/>
      <c r="D965" s="15"/>
      <c r="E965" s="16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6"/>
      <c r="C966" s="15"/>
      <c r="D966" s="15"/>
      <c r="E966" s="16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6"/>
      <c r="C967" s="15"/>
      <c r="D967" s="15"/>
      <c r="E967" s="16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6"/>
      <c r="C968" s="15"/>
      <c r="D968" s="15"/>
      <c r="E968" s="16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6"/>
      <c r="C969" s="15"/>
      <c r="D969" s="15"/>
      <c r="E969" s="16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6"/>
      <c r="C970" s="15"/>
      <c r="D970" s="15"/>
      <c r="E970" s="16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6"/>
      <c r="C971" s="15"/>
      <c r="D971" s="15"/>
      <c r="E971" s="16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6"/>
      <c r="C972" s="15"/>
      <c r="D972" s="15"/>
      <c r="E972" s="16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6"/>
      <c r="C973" s="15"/>
      <c r="D973" s="15"/>
      <c r="E973" s="16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6"/>
      <c r="C974" s="15"/>
      <c r="D974" s="15"/>
      <c r="E974" s="16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6"/>
      <c r="C975" s="15"/>
      <c r="D975" s="15"/>
      <c r="E975" s="16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6"/>
      <c r="C976" s="15"/>
      <c r="D976" s="15"/>
      <c r="E976" s="16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6"/>
      <c r="C977" s="15"/>
      <c r="D977" s="15"/>
      <c r="E977" s="16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6"/>
      <c r="C978" s="15"/>
      <c r="D978" s="15"/>
      <c r="E978" s="16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6"/>
      <c r="C979" s="15"/>
      <c r="D979" s="15"/>
      <c r="E979" s="16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6"/>
      <c r="C980" s="15"/>
      <c r="D980" s="15"/>
      <c r="E980" s="16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6"/>
      <c r="C981" s="15"/>
      <c r="D981" s="15"/>
      <c r="E981" s="16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6"/>
      <c r="C982" s="15"/>
      <c r="D982" s="15"/>
      <c r="E982" s="16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6"/>
      <c r="C983" s="15"/>
      <c r="D983" s="15"/>
      <c r="E983" s="16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6"/>
      <c r="C984" s="15"/>
      <c r="D984" s="15"/>
      <c r="E984" s="16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6"/>
      <c r="C985" s="15"/>
      <c r="D985" s="15"/>
      <c r="E985" s="16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6"/>
      <c r="C986" s="15"/>
      <c r="D986" s="15"/>
      <c r="E986" s="16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6"/>
      <c r="C987" s="15"/>
      <c r="D987" s="15"/>
      <c r="E987" s="16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6"/>
      <c r="C988" s="15"/>
      <c r="D988" s="15"/>
      <c r="E988" s="16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6"/>
      <c r="C989" s="15"/>
      <c r="D989" s="15"/>
      <c r="E989" s="16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6"/>
      <c r="C990" s="15"/>
      <c r="D990" s="15"/>
      <c r="E990" s="16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6"/>
      <c r="C991" s="15"/>
      <c r="D991" s="15"/>
      <c r="E991" s="16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6"/>
      <c r="C992" s="15"/>
      <c r="D992" s="15"/>
      <c r="E992" s="16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6"/>
      <c r="C993" s="15"/>
      <c r="D993" s="15"/>
      <c r="E993" s="16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6"/>
      <c r="C994" s="15"/>
      <c r="D994" s="15"/>
      <c r="E994" s="16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6"/>
      <c r="C995" s="15"/>
      <c r="D995" s="15"/>
      <c r="E995" s="16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6"/>
      <c r="C996" s="15"/>
      <c r="D996" s="15"/>
      <c r="E996" s="16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6"/>
      <c r="C997" s="15"/>
      <c r="D997" s="15"/>
      <c r="E997" s="16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6"/>
      <c r="C998" s="15"/>
      <c r="D998" s="15"/>
      <c r="E998" s="16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6"/>
      <c r="C999" s="15"/>
      <c r="D999" s="15"/>
      <c r="E999" s="16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6"/>
      <c r="C1000" s="15"/>
      <c r="D1000" s="15"/>
      <c r="E1000" s="16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>
      <c r="A1001" s="15"/>
      <c r="B1001" s="16"/>
      <c r="C1001" s="15"/>
      <c r="D1001" s="15"/>
      <c r="E1001" s="16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5"/>
      <c r="B1002" s="16"/>
      <c r="C1002" s="15"/>
      <c r="D1002" s="15"/>
      <c r="E1002" s="16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>
      <c r="A1003" s="15"/>
      <c r="B1003" s="16"/>
      <c r="C1003" s="15"/>
      <c r="D1003" s="15"/>
      <c r="E1003" s="16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</sheetData>
  <mergeCells count="14">
    <mergeCell ref="B19:B20"/>
    <mergeCell ref="C19:C20"/>
    <mergeCell ref="D19:D20"/>
    <mergeCell ref="E19:E20"/>
    <mergeCell ref="F19:F20"/>
    <mergeCell ref="J19:J20"/>
    <mergeCell ref="B21:B25"/>
    <mergeCell ref="B3:B4"/>
    <mergeCell ref="C3:C4"/>
    <mergeCell ref="D3:D4"/>
    <mergeCell ref="E3:E4"/>
    <mergeCell ref="F3:F4"/>
    <mergeCell ref="J3:J4"/>
    <mergeCell ref="B5:B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6.13"/>
    <col customWidth="1" min="4" max="4" width="27.88"/>
    <col customWidth="1" min="5" max="5" width="21.38"/>
    <col customWidth="1" min="7" max="7" width="18.88"/>
    <col customWidth="1" min="12" max="12" width="20.88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37" t="s">
        <v>100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38" t="s">
        <v>57</v>
      </c>
      <c r="C3" s="38" t="s">
        <v>101</v>
      </c>
      <c r="D3" s="38" t="s">
        <v>102</v>
      </c>
      <c r="E3" s="38" t="s">
        <v>102</v>
      </c>
      <c r="F3" s="39" t="s">
        <v>103</v>
      </c>
      <c r="G3" s="39" t="s">
        <v>104</v>
      </c>
      <c r="H3" s="39" t="s">
        <v>105</v>
      </c>
      <c r="I3" s="39" t="s">
        <v>106</v>
      </c>
      <c r="J3" s="39" t="s">
        <v>107</v>
      </c>
      <c r="K3" s="39" t="s">
        <v>108</v>
      </c>
      <c r="L3" s="39" t="s">
        <v>109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24" t="s">
        <v>68</v>
      </c>
      <c r="C4" s="31" t="s">
        <v>110</v>
      </c>
      <c r="D4" s="33" t="s">
        <v>111</v>
      </c>
      <c r="E4" s="33" t="s">
        <v>112</v>
      </c>
      <c r="F4" s="33"/>
      <c r="G4" s="40"/>
      <c r="H4" s="40"/>
      <c r="I4" s="40"/>
      <c r="J4" s="41"/>
      <c r="K4" s="40"/>
      <c r="L4" s="41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30"/>
      <c r="C5" s="31" t="s">
        <v>110</v>
      </c>
      <c r="D5" s="33" t="s">
        <v>113</v>
      </c>
      <c r="E5" s="33" t="s">
        <v>112</v>
      </c>
      <c r="F5" s="33"/>
      <c r="G5" s="40"/>
      <c r="H5" s="40"/>
      <c r="I5" s="40"/>
      <c r="J5" s="41"/>
      <c r="K5" s="40"/>
      <c r="L5" s="41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30"/>
      <c r="C6" s="31" t="s">
        <v>110</v>
      </c>
      <c r="D6" s="33" t="s">
        <v>114</v>
      </c>
      <c r="E6" s="33" t="s">
        <v>112</v>
      </c>
      <c r="F6" s="33"/>
      <c r="G6" s="40"/>
      <c r="H6" s="40"/>
      <c r="I6" s="40"/>
      <c r="J6" s="41"/>
      <c r="K6" s="40"/>
      <c r="L6" s="41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30"/>
      <c r="C7" s="42" t="s">
        <v>67</v>
      </c>
      <c r="D7" s="43" t="s">
        <v>115</v>
      </c>
      <c r="E7" s="44" t="s">
        <v>116</v>
      </c>
      <c r="F7" s="44" t="s">
        <v>117</v>
      </c>
      <c r="G7" s="44" t="s">
        <v>118</v>
      </c>
      <c r="H7" s="44">
        <v>45.0</v>
      </c>
      <c r="I7" s="44">
        <v>3.0</v>
      </c>
      <c r="J7" s="45"/>
      <c r="K7" s="45"/>
      <c r="L7" s="46" t="s">
        <v>119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30"/>
      <c r="C8" s="31" t="s">
        <v>120</v>
      </c>
      <c r="D8" s="33" t="s">
        <v>121</v>
      </c>
      <c r="E8" s="33" t="s">
        <v>112</v>
      </c>
      <c r="F8" s="29"/>
      <c r="G8" s="40"/>
      <c r="H8" s="40"/>
      <c r="I8" s="40"/>
      <c r="J8" s="41"/>
      <c r="K8" s="41"/>
      <c r="L8" s="47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30"/>
      <c r="C9" s="31" t="s">
        <v>120</v>
      </c>
      <c r="D9" s="33" t="s">
        <v>122</v>
      </c>
      <c r="E9" s="33" t="s">
        <v>112</v>
      </c>
      <c r="F9" s="29"/>
      <c r="G9" s="40"/>
      <c r="H9" s="40"/>
      <c r="I9" s="40"/>
      <c r="J9" s="41"/>
      <c r="K9" s="41"/>
      <c r="L9" s="47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23"/>
      <c r="C10" s="40" t="s">
        <v>74</v>
      </c>
      <c r="D10" s="43" t="s">
        <v>123</v>
      </c>
      <c r="E10" s="44" t="s">
        <v>116</v>
      </c>
      <c r="F10" s="44" t="s">
        <v>117</v>
      </c>
      <c r="G10" s="44" t="s">
        <v>118</v>
      </c>
      <c r="H10" s="44">
        <v>45.0</v>
      </c>
      <c r="I10" s="44">
        <v>3.0</v>
      </c>
      <c r="J10" s="45"/>
      <c r="K10" s="45"/>
      <c r="L10" s="46" t="s">
        <v>119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48" t="s">
        <v>75</v>
      </c>
      <c r="C11" s="31" t="s">
        <v>110</v>
      </c>
      <c r="D11" s="33" t="s">
        <v>124</v>
      </c>
      <c r="E11" s="33" t="s">
        <v>112</v>
      </c>
      <c r="F11" s="33"/>
      <c r="G11" s="40"/>
      <c r="H11" s="41"/>
      <c r="I11" s="40"/>
      <c r="J11" s="41"/>
      <c r="K11" s="41"/>
      <c r="L11" s="41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30"/>
      <c r="C12" s="31" t="s">
        <v>110</v>
      </c>
      <c r="D12" s="33" t="s">
        <v>125</v>
      </c>
      <c r="E12" s="33" t="s">
        <v>112</v>
      </c>
      <c r="F12" s="33"/>
      <c r="G12" s="40"/>
      <c r="H12" s="41"/>
      <c r="I12" s="40"/>
      <c r="J12" s="41"/>
      <c r="K12" s="41"/>
      <c r="L12" s="4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30"/>
      <c r="C13" s="31" t="s">
        <v>110</v>
      </c>
      <c r="D13" s="33" t="s">
        <v>126</v>
      </c>
      <c r="E13" s="33" t="s">
        <v>112</v>
      </c>
      <c r="F13" s="29"/>
      <c r="G13" s="40"/>
      <c r="H13" s="41"/>
      <c r="I13" s="40"/>
      <c r="J13" s="41"/>
      <c r="K13" s="41"/>
      <c r="L13" s="41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30"/>
      <c r="C14" s="31" t="s">
        <v>110</v>
      </c>
      <c r="D14" s="33" t="s">
        <v>127</v>
      </c>
      <c r="E14" s="33" t="s">
        <v>112</v>
      </c>
      <c r="F14" s="41"/>
      <c r="G14" s="40"/>
      <c r="H14" s="41"/>
      <c r="I14" s="40"/>
      <c r="J14" s="41"/>
      <c r="K14" s="41"/>
      <c r="L14" s="41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30"/>
      <c r="C15" s="31" t="s">
        <v>110</v>
      </c>
      <c r="D15" s="33" t="s">
        <v>128</v>
      </c>
      <c r="E15" s="33" t="s">
        <v>112</v>
      </c>
      <c r="F15" s="41"/>
      <c r="G15" s="40"/>
      <c r="H15" s="47"/>
      <c r="I15" s="46"/>
      <c r="J15" s="47"/>
      <c r="K15" s="47"/>
      <c r="L15" s="47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49"/>
      <c r="C16" s="11"/>
      <c r="D16" s="11"/>
      <c r="E16" s="11"/>
      <c r="F16" s="11"/>
      <c r="G16" s="11"/>
      <c r="H16" s="11"/>
      <c r="I16" s="11"/>
      <c r="J16" s="11"/>
      <c r="K16" s="11"/>
      <c r="L16" s="12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50" t="s">
        <v>75</v>
      </c>
      <c r="C17" s="42" t="s">
        <v>67</v>
      </c>
      <c r="D17" s="43" t="s">
        <v>129</v>
      </c>
      <c r="E17" s="44" t="s">
        <v>116</v>
      </c>
      <c r="F17" s="44" t="s">
        <v>117</v>
      </c>
      <c r="G17" s="44" t="s">
        <v>118</v>
      </c>
      <c r="H17" s="44">
        <v>90.0</v>
      </c>
      <c r="I17" s="44">
        <v>6.0</v>
      </c>
      <c r="J17" s="45"/>
      <c r="K17" s="45"/>
      <c r="L17" s="46" t="s">
        <v>130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30"/>
      <c r="C18" s="31" t="s">
        <v>120</v>
      </c>
      <c r="D18" s="33" t="s">
        <v>131</v>
      </c>
      <c r="E18" s="33" t="s">
        <v>112</v>
      </c>
      <c r="F18" s="41"/>
      <c r="G18" s="40"/>
      <c r="H18" s="41"/>
      <c r="I18" s="40"/>
      <c r="J18" s="41"/>
      <c r="K18" s="41"/>
      <c r="L18" s="47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30"/>
      <c r="C19" s="31" t="s">
        <v>120</v>
      </c>
      <c r="D19" s="33" t="s">
        <v>132</v>
      </c>
      <c r="E19" s="33" t="s">
        <v>112</v>
      </c>
      <c r="F19" s="41"/>
      <c r="G19" s="40"/>
      <c r="H19" s="41"/>
      <c r="I19" s="40"/>
      <c r="J19" s="41"/>
      <c r="K19" s="41"/>
      <c r="L19" s="47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30"/>
      <c r="C20" s="31" t="s">
        <v>120</v>
      </c>
      <c r="D20" s="33" t="s">
        <v>133</v>
      </c>
      <c r="E20" s="33" t="s">
        <v>112</v>
      </c>
      <c r="F20" s="41"/>
      <c r="G20" s="40"/>
      <c r="H20" s="41"/>
      <c r="I20" s="40"/>
      <c r="J20" s="41"/>
      <c r="K20" s="41"/>
      <c r="L20" s="47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30"/>
      <c r="C21" s="31" t="s">
        <v>120</v>
      </c>
      <c r="D21" s="33" t="s">
        <v>134</v>
      </c>
      <c r="E21" s="33" t="s">
        <v>112</v>
      </c>
      <c r="F21" s="41"/>
      <c r="G21" s="40"/>
      <c r="H21" s="41"/>
      <c r="I21" s="40"/>
      <c r="J21" s="41"/>
      <c r="K21" s="41"/>
      <c r="L21" s="47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30"/>
      <c r="C22" s="31" t="s">
        <v>120</v>
      </c>
      <c r="D22" s="33" t="s">
        <v>135</v>
      </c>
      <c r="E22" s="33" t="s">
        <v>112</v>
      </c>
      <c r="F22" s="41"/>
      <c r="G22" s="40"/>
      <c r="H22" s="41"/>
      <c r="I22" s="40"/>
      <c r="J22" s="41"/>
      <c r="K22" s="41"/>
      <c r="L22" s="47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23"/>
      <c r="C23" s="40" t="s">
        <v>74</v>
      </c>
      <c r="D23" s="43" t="s">
        <v>136</v>
      </c>
      <c r="E23" s="44" t="s">
        <v>116</v>
      </c>
      <c r="F23" s="44" t="s">
        <v>117</v>
      </c>
      <c r="G23" s="44" t="s">
        <v>118</v>
      </c>
      <c r="H23" s="44">
        <v>90.0</v>
      </c>
      <c r="I23" s="44">
        <v>6.0</v>
      </c>
      <c r="J23" s="45"/>
      <c r="K23" s="45"/>
      <c r="L23" s="46" t="s">
        <v>130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idden="1">
      <c r="A24" s="16"/>
      <c r="B24" s="24" t="s">
        <v>82</v>
      </c>
      <c r="C24" s="31" t="s">
        <v>110</v>
      </c>
      <c r="D24" s="33" t="s">
        <v>137</v>
      </c>
      <c r="E24" s="33" t="s">
        <v>112</v>
      </c>
      <c r="F24" s="33"/>
      <c r="G24" s="40"/>
      <c r="H24" s="33"/>
      <c r="I24" s="40"/>
      <c r="J24" s="41"/>
      <c r="K24" s="41"/>
      <c r="L24" s="41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idden="1">
      <c r="A25" s="16"/>
      <c r="B25" s="30"/>
      <c r="C25" s="31" t="s">
        <v>110</v>
      </c>
      <c r="D25" s="33" t="s">
        <v>138</v>
      </c>
      <c r="E25" s="33" t="s">
        <v>112</v>
      </c>
      <c r="F25" s="33"/>
      <c r="G25" s="40"/>
      <c r="H25" s="33"/>
      <c r="I25" s="40"/>
      <c r="J25" s="41"/>
      <c r="K25" s="41"/>
      <c r="L25" s="41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idden="1">
      <c r="A26" s="16"/>
      <c r="B26" s="30"/>
      <c r="C26" s="31" t="s">
        <v>110</v>
      </c>
      <c r="D26" s="33" t="s">
        <v>139</v>
      </c>
      <c r="E26" s="33" t="s">
        <v>112</v>
      </c>
      <c r="F26" s="33"/>
      <c r="G26" s="40"/>
      <c r="H26" s="33"/>
      <c r="I26" s="40"/>
      <c r="J26" s="41"/>
      <c r="K26" s="41"/>
      <c r="L26" s="41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idden="1">
      <c r="A27" s="16"/>
      <c r="B27" s="30"/>
      <c r="C27" s="31" t="s">
        <v>140</v>
      </c>
      <c r="D27" s="33" t="s">
        <v>141</v>
      </c>
      <c r="E27" s="33" t="s">
        <v>112</v>
      </c>
      <c r="F27" s="33"/>
      <c r="G27" s="40"/>
      <c r="H27" s="33"/>
      <c r="I27" s="40"/>
      <c r="J27" s="41"/>
      <c r="K27" s="41"/>
      <c r="L27" s="4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idden="1">
      <c r="A28" s="16"/>
      <c r="B28" s="30"/>
      <c r="C28" s="31" t="s">
        <v>140</v>
      </c>
      <c r="D28" s="33" t="s">
        <v>142</v>
      </c>
      <c r="E28" s="33" t="s">
        <v>112</v>
      </c>
      <c r="F28" s="33"/>
      <c r="G28" s="40"/>
      <c r="H28" s="33"/>
      <c r="I28" s="40"/>
      <c r="J28" s="41"/>
      <c r="K28" s="41"/>
      <c r="L28" s="41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idden="1">
      <c r="A29" s="16"/>
      <c r="B29" s="30"/>
      <c r="C29" s="31" t="s">
        <v>140</v>
      </c>
      <c r="D29" s="33" t="s">
        <v>143</v>
      </c>
      <c r="E29" s="33" t="s">
        <v>112</v>
      </c>
      <c r="F29" s="33"/>
      <c r="G29" s="40"/>
      <c r="H29" s="33"/>
      <c r="I29" s="40"/>
      <c r="J29" s="41"/>
      <c r="K29" s="41"/>
      <c r="L29" s="41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idden="1">
      <c r="A30" s="16"/>
      <c r="B30" s="30"/>
      <c r="C30" s="31" t="s">
        <v>120</v>
      </c>
      <c r="D30" s="33" t="s">
        <v>144</v>
      </c>
      <c r="E30" s="33" t="s">
        <v>112</v>
      </c>
      <c r="F30" s="33"/>
      <c r="G30" s="40"/>
      <c r="H30" s="33"/>
      <c r="I30" s="40"/>
      <c r="J30" s="41"/>
      <c r="K30" s="41"/>
      <c r="L30" s="41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idden="1">
      <c r="A31" s="16"/>
      <c r="B31" s="30"/>
      <c r="C31" s="31" t="s">
        <v>120</v>
      </c>
      <c r="D31" s="33" t="s">
        <v>145</v>
      </c>
      <c r="E31" s="33" t="s">
        <v>112</v>
      </c>
      <c r="F31" s="33"/>
      <c r="G31" s="40"/>
      <c r="H31" s="33"/>
      <c r="I31" s="40"/>
      <c r="J31" s="41"/>
      <c r="K31" s="41"/>
      <c r="L31" s="41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idden="1">
      <c r="A32" s="16"/>
      <c r="B32" s="30"/>
      <c r="C32" s="31" t="s">
        <v>120</v>
      </c>
      <c r="D32" s="33" t="s">
        <v>146</v>
      </c>
      <c r="E32" s="33" t="s">
        <v>112</v>
      </c>
      <c r="F32" s="33"/>
      <c r="G32" s="40"/>
      <c r="H32" s="33"/>
      <c r="I32" s="40"/>
      <c r="J32" s="41"/>
      <c r="K32" s="41"/>
      <c r="L32" s="41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idden="1">
      <c r="A33" s="16"/>
      <c r="B33" s="30"/>
      <c r="C33" s="31" t="s">
        <v>120</v>
      </c>
      <c r="D33" s="33" t="s">
        <v>147</v>
      </c>
      <c r="E33" s="33" t="s">
        <v>112</v>
      </c>
      <c r="F33" s="33"/>
      <c r="G33" s="40"/>
      <c r="H33" s="33"/>
      <c r="I33" s="40"/>
      <c r="J33" s="41"/>
      <c r="K33" s="41"/>
      <c r="L33" s="41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49"/>
      <c r="C34" s="11"/>
      <c r="D34" s="11"/>
      <c r="E34" s="11"/>
      <c r="F34" s="11"/>
      <c r="G34" s="11"/>
      <c r="H34" s="11"/>
      <c r="I34" s="11"/>
      <c r="J34" s="11"/>
      <c r="K34" s="11"/>
      <c r="L34" s="12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50" t="s">
        <v>82</v>
      </c>
      <c r="C35" s="40" t="s">
        <v>74</v>
      </c>
      <c r="D35" s="51" t="s">
        <v>148</v>
      </c>
      <c r="E35" s="44" t="s">
        <v>116</v>
      </c>
      <c r="F35" s="44" t="s">
        <v>117</v>
      </c>
      <c r="G35" s="44" t="s">
        <v>118</v>
      </c>
      <c r="H35" s="52">
        <v>135.0</v>
      </c>
      <c r="I35" s="44">
        <v>9.0</v>
      </c>
      <c r="J35" s="53"/>
      <c r="K35" s="53"/>
      <c r="L35" s="46" t="s">
        <v>149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30"/>
      <c r="C36" s="40" t="s">
        <v>74</v>
      </c>
      <c r="D36" s="51" t="s">
        <v>150</v>
      </c>
      <c r="E36" s="44" t="s">
        <v>116</v>
      </c>
      <c r="F36" s="44" t="s">
        <v>117</v>
      </c>
      <c r="G36" s="44" t="s">
        <v>118</v>
      </c>
      <c r="H36" s="52">
        <v>135.0</v>
      </c>
      <c r="I36" s="44">
        <v>9.0</v>
      </c>
      <c r="J36" s="53"/>
      <c r="K36" s="53"/>
      <c r="L36" s="46" t="s">
        <v>149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23"/>
      <c r="C37" s="40" t="s">
        <v>74</v>
      </c>
      <c r="D37" s="51" t="s">
        <v>151</v>
      </c>
      <c r="E37" s="44" t="s">
        <v>116</v>
      </c>
      <c r="F37" s="44" t="s">
        <v>117</v>
      </c>
      <c r="G37" s="44" t="s">
        <v>118</v>
      </c>
      <c r="H37" s="52">
        <v>135.0</v>
      </c>
      <c r="I37" s="44">
        <v>9.0</v>
      </c>
      <c r="J37" s="53"/>
      <c r="K37" s="53"/>
      <c r="L37" s="46" t="s">
        <v>149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8.0" customHeight="1">
      <c r="A38" s="16"/>
      <c r="B38" s="49"/>
      <c r="C38" s="11"/>
      <c r="D38" s="11"/>
      <c r="E38" s="11"/>
      <c r="F38" s="11"/>
      <c r="G38" s="11"/>
      <c r="H38" s="11"/>
      <c r="I38" s="11"/>
      <c r="J38" s="11"/>
      <c r="K38" s="11"/>
      <c r="L38" s="12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8.0" customHeight="1">
      <c r="A39" s="16"/>
      <c r="B39" s="16"/>
      <c r="C39" s="16"/>
      <c r="D39" s="16"/>
      <c r="E39" s="16"/>
      <c r="F39" s="16"/>
      <c r="G39" s="16"/>
      <c r="H39" s="16">
        <f>SUM(H7+H10+H17+H23+H35+H36+H37)</f>
        <v>675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8"/>
      <c r="B52" s="16"/>
      <c r="C52" s="16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6"/>
      <c r="C53" s="16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6"/>
      <c r="C54" s="16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6"/>
      <c r="C55" s="16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6"/>
      <c r="C56" s="16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6"/>
      <c r="C57" s="16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6"/>
      <c r="C58" s="16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6"/>
      <c r="C59" s="16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6"/>
      <c r="C60" s="16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6"/>
      <c r="C61" s="16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54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54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54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54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54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54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54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54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54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54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54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54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54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54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54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54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54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54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54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54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54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54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54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54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54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54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54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54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54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54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54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54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54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54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54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54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54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54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54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54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54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54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54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54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54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54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54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54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54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54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54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54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54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54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54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54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54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54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54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54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54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54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54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54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54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54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54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54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54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54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54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54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54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54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54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54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54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54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54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54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54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54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54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54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54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54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54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54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54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54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54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54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54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54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54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54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54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54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54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54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54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54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54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54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54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54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54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54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54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54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54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54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54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54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54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54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54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54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54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54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54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54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54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54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54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54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54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54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54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54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54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54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54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54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54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54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54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54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54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54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54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54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54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54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54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54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54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54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54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54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54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54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54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54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54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54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54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54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54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54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54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54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54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54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54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54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54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54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54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54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54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54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54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54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54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54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54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54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54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54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54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54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54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54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54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54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54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54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54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54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54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54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54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54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54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54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54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54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54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54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54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54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54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54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54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54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54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54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54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54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54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54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54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54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54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54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54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54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54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54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54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54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54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54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54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54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54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54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54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54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54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54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54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54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54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54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54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54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54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54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54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54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54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54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54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54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54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54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54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54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54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54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54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54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54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54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54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54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54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54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54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54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54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54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54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54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54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54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54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54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54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54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54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54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54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54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54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54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54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54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54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54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54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54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54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54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54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54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54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54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54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54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54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54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54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54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54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54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54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54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54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54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54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54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54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54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54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54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54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54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54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54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54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54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54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54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54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54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54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54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54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54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54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54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54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54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54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54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54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54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54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54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54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54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54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54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54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54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54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54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54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54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54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54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54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54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54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54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54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54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54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54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54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54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54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54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54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54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54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54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54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54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54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54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54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54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54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54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54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54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54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54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54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54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54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54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54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54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54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54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54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54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54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54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54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54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54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54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54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54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54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54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54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54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54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54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54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54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54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54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54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54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54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54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54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54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54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54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54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54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54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54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54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54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54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54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54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54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54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54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54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54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54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54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54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54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54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54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54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54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54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54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54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54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54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54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54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54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54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54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54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54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54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54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54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54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54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54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54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54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54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54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54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54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54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54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54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54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54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54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54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54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54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54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54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54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54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54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54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54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54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54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54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54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54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54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54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54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54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54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54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54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54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54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54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54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54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54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54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54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54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54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54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54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54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54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54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54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54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54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54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54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54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54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54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54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54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54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54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54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54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54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54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54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54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54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54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54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54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54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54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54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54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54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54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54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54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54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54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54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54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54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54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54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54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54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54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54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54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54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54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54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54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54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54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54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54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54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54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54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54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54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54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54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54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54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54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54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54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54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54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54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54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54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54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54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54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54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54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54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54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54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54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54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54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54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54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54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54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54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54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54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54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54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54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54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54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54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54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54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54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54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54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54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54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54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54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54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54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54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54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54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54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54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54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54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54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54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54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54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54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54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54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54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54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54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54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54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54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54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54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54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54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54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54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54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54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54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54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54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54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54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54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54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54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54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54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54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54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54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54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54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54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54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54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54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54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54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54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54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54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54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54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54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54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54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54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54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54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54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54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54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54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54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54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54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54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54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54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54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54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54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54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54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54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54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54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54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54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54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54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54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54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54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54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54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54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54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54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54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54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54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54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54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54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54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54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54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54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54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54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54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54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54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54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54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54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54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54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54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54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54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54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54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54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54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54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54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54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54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54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54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54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54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54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54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54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54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54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54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54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54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54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54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54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54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54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54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54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54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54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54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54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54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54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54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54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54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54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54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54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54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54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54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54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54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54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54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54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54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54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54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54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54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54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54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54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54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54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54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54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54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54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54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54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54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54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54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54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54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54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54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54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54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54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54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54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54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54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54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54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54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54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54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54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54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54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54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54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54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54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54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54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54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54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54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54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54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54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54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54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54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54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54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54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54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54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54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54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54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54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54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54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54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54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54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54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54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54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54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54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54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54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54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54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54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54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54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54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54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54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54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54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</sheetData>
  <mergeCells count="9">
    <mergeCell ref="B35:B37"/>
    <mergeCell ref="B38:L38"/>
    <mergeCell ref="B2:C2"/>
    <mergeCell ref="B4:B10"/>
    <mergeCell ref="B11:B15"/>
    <mergeCell ref="B16:L16"/>
    <mergeCell ref="B17:B23"/>
    <mergeCell ref="B24:B33"/>
    <mergeCell ref="B34:L3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9.13"/>
    <col customWidth="1" min="3" max="3" width="16.63"/>
    <col customWidth="1" min="4" max="4" width="11.25"/>
    <col customWidth="1" min="5" max="5" width="30.5"/>
    <col customWidth="1" min="6" max="6" width="18.13"/>
    <col customWidth="1" min="7" max="7" width="19.88"/>
    <col customWidth="1" min="8" max="8" width="15.63"/>
    <col customWidth="1" min="9" max="9" width="25.63"/>
    <col customWidth="1" min="11" max="13" width="6.88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6"/>
      <c r="B2" s="37" t="s">
        <v>152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>
      <c r="A3" s="16"/>
      <c r="B3" s="4" t="s">
        <v>57</v>
      </c>
      <c r="C3" s="39" t="s">
        <v>153</v>
      </c>
      <c r="D3" s="4" t="s">
        <v>101</v>
      </c>
      <c r="E3" s="4" t="s">
        <v>154</v>
      </c>
      <c r="F3" s="4" t="s">
        <v>155</v>
      </c>
      <c r="G3" s="4" t="s">
        <v>156</v>
      </c>
      <c r="H3" s="4" t="s">
        <v>157</v>
      </c>
      <c r="I3" s="4" t="s">
        <v>108</v>
      </c>
      <c r="J3" s="4" t="s">
        <v>158</v>
      </c>
      <c r="K3" s="4" t="s">
        <v>159</v>
      </c>
      <c r="L3" s="4" t="s">
        <v>160</v>
      </c>
      <c r="M3" s="4" t="s">
        <v>161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</row>
    <row r="4">
      <c r="A4" s="16"/>
      <c r="B4" s="55" t="s">
        <v>68</v>
      </c>
      <c r="C4" s="40" t="s">
        <v>76</v>
      </c>
      <c r="D4" s="40" t="s">
        <v>112</v>
      </c>
      <c r="E4" s="40" t="s">
        <v>162</v>
      </c>
      <c r="F4" s="40" t="s">
        <v>163</v>
      </c>
      <c r="G4" s="40" t="s">
        <v>164</v>
      </c>
      <c r="H4" s="40" t="s">
        <v>165</v>
      </c>
      <c r="I4" s="40" t="s">
        <v>166</v>
      </c>
      <c r="J4" s="40">
        <v>10.0</v>
      </c>
      <c r="K4" s="41"/>
      <c r="L4" s="41"/>
      <c r="M4" s="41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</row>
    <row r="5">
      <c r="A5" s="16"/>
      <c r="B5" s="30"/>
      <c r="C5" s="40" t="s">
        <v>167</v>
      </c>
      <c r="D5" s="40" t="s">
        <v>112</v>
      </c>
      <c r="E5" s="40" t="s">
        <v>168</v>
      </c>
      <c r="F5" s="40" t="s">
        <v>169</v>
      </c>
      <c r="G5" s="40" t="s">
        <v>164</v>
      </c>
      <c r="H5" s="40" t="s">
        <v>165</v>
      </c>
      <c r="I5" s="40" t="s">
        <v>170</v>
      </c>
      <c r="J5" s="40">
        <v>6.0</v>
      </c>
      <c r="K5" s="41"/>
      <c r="L5" s="41"/>
      <c r="M5" s="41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</row>
    <row r="6">
      <c r="A6" s="16"/>
      <c r="B6" s="30"/>
      <c r="C6" s="40" t="s">
        <v>171</v>
      </c>
      <c r="D6" s="40" t="s">
        <v>112</v>
      </c>
      <c r="E6" s="40" t="s">
        <v>172</v>
      </c>
      <c r="F6" s="40" t="s">
        <v>173</v>
      </c>
      <c r="G6" s="40" t="s">
        <v>164</v>
      </c>
      <c r="H6" s="40" t="s">
        <v>165</v>
      </c>
      <c r="I6" s="40" t="s">
        <v>170</v>
      </c>
      <c r="J6" s="40">
        <v>6.0</v>
      </c>
      <c r="K6" s="41"/>
      <c r="L6" s="41"/>
      <c r="M6" s="41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>
      <c r="A7" s="16"/>
      <c r="B7" s="30"/>
      <c r="C7" s="40" t="s">
        <v>174</v>
      </c>
      <c r="D7" s="40" t="s">
        <v>112</v>
      </c>
      <c r="E7" s="40" t="s">
        <v>125</v>
      </c>
      <c r="F7" s="40" t="s">
        <v>175</v>
      </c>
      <c r="G7" s="40" t="s">
        <v>176</v>
      </c>
      <c r="H7" s="40" t="s">
        <v>165</v>
      </c>
      <c r="I7" s="40" t="s">
        <v>170</v>
      </c>
      <c r="J7" s="40">
        <v>6.0</v>
      </c>
      <c r="K7" s="41"/>
      <c r="L7" s="41"/>
      <c r="M7" s="41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>
      <c r="A8" s="16"/>
      <c r="B8" s="30"/>
      <c r="C8" s="40" t="s">
        <v>177</v>
      </c>
      <c r="D8" s="40" t="s">
        <v>112</v>
      </c>
      <c r="E8" s="40" t="s">
        <v>111</v>
      </c>
      <c r="F8" s="40" t="s">
        <v>178</v>
      </c>
      <c r="G8" s="40" t="s">
        <v>164</v>
      </c>
      <c r="H8" s="40" t="s">
        <v>165</v>
      </c>
      <c r="I8" s="40" t="s">
        <v>170</v>
      </c>
      <c r="J8" s="40">
        <v>6.0</v>
      </c>
      <c r="K8" s="41"/>
      <c r="L8" s="41"/>
      <c r="M8" s="41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</row>
    <row r="9">
      <c r="A9" s="16"/>
      <c r="B9" s="23"/>
      <c r="C9" s="44" t="s">
        <v>179</v>
      </c>
      <c r="D9" s="44" t="s">
        <v>116</v>
      </c>
      <c r="E9" s="44" t="s">
        <v>69</v>
      </c>
      <c r="F9" s="44" t="s">
        <v>180</v>
      </c>
      <c r="G9" s="44" t="s">
        <v>181</v>
      </c>
      <c r="H9" s="44" t="s">
        <v>165</v>
      </c>
      <c r="I9" s="44" t="s">
        <v>170</v>
      </c>
      <c r="J9" s="44">
        <v>6.0</v>
      </c>
      <c r="K9" s="41"/>
      <c r="L9" s="41"/>
      <c r="M9" s="41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>
      <c r="A10" s="16"/>
      <c r="B10" s="56"/>
      <c r="C10" s="56"/>
      <c r="D10" s="56"/>
      <c r="E10" s="56"/>
      <c r="F10" s="56"/>
      <c r="G10" s="56"/>
      <c r="H10" s="56"/>
      <c r="I10" s="56"/>
      <c r="J10" s="56">
        <f>SUM(J4:J9)</f>
        <v>40</v>
      </c>
      <c r="K10" s="56"/>
      <c r="L10" s="56"/>
      <c r="M10" s="5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>
      <c r="A11" s="16"/>
      <c r="B11" s="55" t="s">
        <v>75</v>
      </c>
      <c r="C11" s="55" t="s">
        <v>76</v>
      </c>
      <c r="D11" s="40" t="s">
        <v>112</v>
      </c>
      <c r="E11" s="40" t="s">
        <v>182</v>
      </c>
      <c r="F11" s="40" t="s">
        <v>183</v>
      </c>
      <c r="G11" s="40" t="s">
        <v>184</v>
      </c>
      <c r="H11" s="40" t="s">
        <v>165</v>
      </c>
      <c r="I11" s="40" t="s">
        <v>185</v>
      </c>
      <c r="J11" s="40">
        <v>4.0</v>
      </c>
      <c r="K11" s="41"/>
      <c r="L11" s="41"/>
      <c r="M11" s="41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>
      <c r="A12" s="16"/>
      <c r="B12" s="30"/>
      <c r="C12" s="23"/>
      <c r="D12" s="44" t="s">
        <v>116</v>
      </c>
      <c r="E12" s="44" t="s">
        <v>186</v>
      </c>
      <c r="F12" s="44" t="s">
        <v>180</v>
      </c>
      <c r="G12" s="44" t="s">
        <v>187</v>
      </c>
      <c r="H12" s="44" t="s">
        <v>165</v>
      </c>
      <c r="I12" s="44" t="s">
        <v>170</v>
      </c>
      <c r="J12" s="44">
        <v>4.0</v>
      </c>
      <c r="K12" s="41"/>
      <c r="L12" s="41"/>
      <c r="M12" s="41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</row>
    <row r="13">
      <c r="A13" s="16"/>
      <c r="B13" s="30"/>
      <c r="C13" s="55" t="s">
        <v>167</v>
      </c>
      <c r="D13" s="40" t="s">
        <v>112</v>
      </c>
      <c r="E13" s="40" t="s">
        <v>188</v>
      </c>
      <c r="F13" s="40" t="s">
        <v>189</v>
      </c>
      <c r="G13" s="40" t="s">
        <v>190</v>
      </c>
      <c r="H13" s="40" t="s">
        <v>165</v>
      </c>
      <c r="I13" s="40" t="s">
        <v>170</v>
      </c>
      <c r="J13" s="40">
        <v>4.0</v>
      </c>
      <c r="K13" s="41"/>
      <c r="L13" s="41"/>
      <c r="M13" s="41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</row>
    <row r="14">
      <c r="A14" s="16"/>
      <c r="B14" s="30"/>
      <c r="C14" s="23"/>
      <c r="D14" s="44" t="s">
        <v>116</v>
      </c>
      <c r="E14" s="44" t="s">
        <v>77</v>
      </c>
      <c r="F14" s="44" t="s">
        <v>180</v>
      </c>
      <c r="G14" s="44" t="s">
        <v>187</v>
      </c>
      <c r="H14" s="44" t="s">
        <v>165</v>
      </c>
      <c r="I14" s="44" t="s">
        <v>170</v>
      </c>
      <c r="J14" s="44">
        <v>4.0</v>
      </c>
      <c r="K14" s="41"/>
      <c r="L14" s="41"/>
      <c r="M14" s="41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>
      <c r="A15" s="16"/>
      <c r="B15" s="30"/>
      <c r="C15" s="55" t="s">
        <v>171</v>
      </c>
      <c r="D15" s="40" t="s">
        <v>112</v>
      </c>
      <c r="E15" s="40" t="s">
        <v>133</v>
      </c>
      <c r="F15" s="40" t="s">
        <v>191</v>
      </c>
      <c r="G15" s="40" t="s">
        <v>184</v>
      </c>
      <c r="H15" s="40" t="s">
        <v>165</v>
      </c>
      <c r="I15" s="40" t="s">
        <v>170</v>
      </c>
      <c r="J15" s="40">
        <v>4.0</v>
      </c>
      <c r="K15" s="41"/>
      <c r="L15" s="41"/>
      <c r="M15" s="41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</row>
    <row r="16">
      <c r="A16" s="16"/>
      <c r="B16" s="30"/>
      <c r="C16" s="23"/>
      <c r="D16" s="44" t="s">
        <v>116</v>
      </c>
      <c r="E16" s="44" t="s">
        <v>79</v>
      </c>
      <c r="F16" s="44" t="s">
        <v>180</v>
      </c>
      <c r="G16" s="44" t="s">
        <v>187</v>
      </c>
      <c r="H16" s="44" t="s">
        <v>165</v>
      </c>
      <c r="I16" s="44" t="s">
        <v>170</v>
      </c>
      <c r="J16" s="44">
        <v>4.0</v>
      </c>
      <c r="K16" s="41"/>
      <c r="L16" s="41"/>
      <c r="M16" s="41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  <row r="17">
      <c r="A17" s="16"/>
      <c r="B17" s="30"/>
      <c r="C17" s="55" t="s">
        <v>174</v>
      </c>
      <c r="D17" s="40" t="s">
        <v>112</v>
      </c>
      <c r="E17" s="40" t="s">
        <v>192</v>
      </c>
      <c r="F17" s="40" t="s">
        <v>193</v>
      </c>
      <c r="G17" s="40" t="s">
        <v>190</v>
      </c>
      <c r="H17" s="40" t="s">
        <v>165</v>
      </c>
      <c r="I17" s="40" t="s">
        <v>170</v>
      </c>
      <c r="J17" s="40">
        <v>4.0</v>
      </c>
      <c r="K17" s="41"/>
      <c r="L17" s="41"/>
      <c r="M17" s="41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>
      <c r="A18" s="16"/>
      <c r="B18" s="30"/>
      <c r="C18" s="23"/>
      <c r="D18" s="44" t="s">
        <v>116</v>
      </c>
      <c r="E18" s="44" t="s">
        <v>80</v>
      </c>
      <c r="F18" s="44" t="s">
        <v>180</v>
      </c>
      <c r="G18" s="44" t="s">
        <v>187</v>
      </c>
      <c r="H18" s="44" t="s">
        <v>165</v>
      </c>
      <c r="I18" s="44" t="s">
        <v>170</v>
      </c>
      <c r="J18" s="44">
        <v>4.0</v>
      </c>
      <c r="K18" s="41"/>
      <c r="L18" s="41"/>
      <c r="M18" s="41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>
      <c r="A19" s="16"/>
      <c r="B19" s="30"/>
      <c r="C19" s="55" t="s">
        <v>177</v>
      </c>
      <c r="D19" s="40" t="s">
        <v>112</v>
      </c>
      <c r="E19" s="40" t="s">
        <v>95</v>
      </c>
      <c r="F19" s="40" t="s">
        <v>194</v>
      </c>
      <c r="G19" s="40" t="s">
        <v>184</v>
      </c>
      <c r="H19" s="40" t="s">
        <v>165</v>
      </c>
      <c r="I19" s="40" t="s">
        <v>170</v>
      </c>
      <c r="J19" s="40">
        <v>4.0</v>
      </c>
      <c r="K19" s="41"/>
      <c r="L19" s="41"/>
      <c r="M19" s="41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</row>
    <row r="20">
      <c r="A20" s="16"/>
      <c r="B20" s="23"/>
      <c r="C20" s="23"/>
      <c r="D20" s="44" t="s">
        <v>116</v>
      </c>
      <c r="E20" s="44" t="s">
        <v>81</v>
      </c>
      <c r="F20" s="44" t="s">
        <v>180</v>
      </c>
      <c r="G20" s="44" t="s">
        <v>187</v>
      </c>
      <c r="H20" s="44" t="s">
        <v>165</v>
      </c>
      <c r="I20" s="44" t="s">
        <v>170</v>
      </c>
      <c r="J20" s="44">
        <v>4.0</v>
      </c>
      <c r="K20" s="41"/>
      <c r="L20" s="41"/>
      <c r="M20" s="41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</row>
    <row r="21" hidden="1">
      <c r="A21" s="16"/>
      <c r="B21" s="24" t="s">
        <v>82</v>
      </c>
      <c r="C21" s="31"/>
      <c r="D21" s="31" t="s">
        <v>110</v>
      </c>
      <c r="E21" s="33" t="s">
        <v>137</v>
      </c>
      <c r="F21" s="33"/>
      <c r="G21" s="33"/>
      <c r="H21" s="40"/>
      <c r="I21" s="40"/>
      <c r="J21" s="41"/>
      <c r="K21" s="41"/>
      <c r="L21" s="41"/>
      <c r="M21" s="41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hidden="1">
      <c r="A22" s="16"/>
      <c r="B22" s="30"/>
      <c r="C22" s="31"/>
      <c r="D22" s="31" t="s">
        <v>110</v>
      </c>
      <c r="E22" s="33" t="s">
        <v>138</v>
      </c>
      <c r="F22" s="33"/>
      <c r="G22" s="33"/>
      <c r="H22" s="40"/>
      <c r="I22" s="40"/>
      <c r="J22" s="41"/>
      <c r="K22" s="41"/>
      <c r="L22" s="41"/>
      <c r="M22" s="41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</row>
    <row r="23" hidden="1">
      <c r="A23" s="16"/>
      <c r="B23" s="30"/>
      <c r="C23" s="31"/>
      <c r="D23" s="31" t="s">
        <v>110</v>
      </c>
      <c r="E23" s="33" t="s">
        <v>139</v>
      </c>
      <c r="F23" s="33"/>
      <c r="G23" s="33"/>
      <c r="H23" s="40"/>
      <c r="I23" s="40"/>
      <c r="J23" s="41"/>
      <c r="K23" s="41"/>
      <c r="L23" s="41"/>
      <c r="M23" s="41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</row>
    <row r="24" hidden="1">
      <c r="A24" s="16"/>
      <c r="B24" s="30"/>
      <c r="C24" s="31"/>
      <c r="D24" s="31" t="s">
        <v>140</v>
      </c>
      <c r="E24" s="33" t="s">
        <v>141</v>
      </c>
      <c r="F24" s="33"/>
      <c r="G24" s="33"/>
      <c r="H24" s="40"/>
      <c r="I24" s="40"/>
      <c r="J24" s="41"/>
      <c r="K24" s="41"/>
      <c r="L24" s="41"/>
      <c r="M24" s="41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</row>
    <row r="25" hidden="1">
      <c r="A25" s="16"/>
      <c r="B25" s="30"/>
      <c r="C25" s="31"/>
      <c r="D25" s="31" t="s">
        <v>140</v>
      </c>
      <c r="E25" s="33" t="s">
        <v>142</v>
      </c>
      <c r="F25" s="33"/>
      <c r="G25" s="33"/>
      <c r="H25" s="40"/>
      <c r="I25" s="40"/>
      <c r="J25" s="41"/>
      <c r="K25" s="41"/>
      <c r="L25" s="41"/>
      <c r="M25" s="41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</row>
    <row r="26" hidden="1">
      <c r="A26" s="16"/>
      <c r="B26" s="30"/>
      <c r="C26" s="31"/>
      <c r="D26" s="31" t="s">
        <v>140</v>
      </c>
      <c r="E26" s="33" t="s">
        <v>143</v>
      </c>
      <c r="F26" s="33"/>
      <c r="G26" s="33"/>
      <c r="H26" s="40"/>
      <c r="I26" s="40"/>
      <c r="J26" s="41"/>
      <c r="K26" s="41"/>
      <c r="L26" s="41"/>
      <c r="M26" s="41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</row>
    <row r="27" hidden="1">
      <c r="A27" s="16"/>
      <c r="B27" s="30"/>
      <c r="C27" s="31"/>
      <c r="D27" s="31" t="s">
        <v>120</v>
      </c>
      <c r="E27" s="33" t="s">
        <v>144</v>
      </c>
      <c r="F27" s="33"/>
      <c r="G27" s="33"/>
      <c r="H27" s="40"/>
      <c r="I27" s="40"/>
      <c r="J27" s="41"/>
      <c r="K27" s="41"/>
      <c r="L27" s="41"/>
      <c r="M27" s="41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</row>
    <row r="28" hidden="1">
      <c r="A28" s="16"/>
      <c r="B28" s="30"/>
      <c r="C28" s="31"/>
      <c r="D28" s="31" t="s">
        <v>120</v>
      </c>
      <c r="E28" s="33" t="s">
        <v>145</v>
      </c>
      <c r="F28" s="33"/>
      <c r="G28" s="33"/>
      <c r="H28" s="40"/>
      <c r="I28" s="40"/>
      <c r="J28" s="41"/>
      <c r="K28" s="41"/>
      <c r="L28" s="41"/>
      <c r="M28" s="41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</row>
    <row r="29" hidden="1">
      <c r="A29" s="16"/>
      <c r="B29" s="30"/>
      <c r="C29" s="31"/>
      <c r="D29" s="31" t="s">
        <v>120</v>
      </c>
      <c r="E29" s="33" t="s">
        <v>146</v>
      </c>
      <c r="F29" s="33"/>
      <c r="G29" s="33"/>
      <c r="H29" s="40"/>
      <c r="I29" s="40"/>
      <c r="J29" s="41"/>
      <c r="K29" s="41"/>
      <c r="L29" s="41"/>
      <c r="M29" s="41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</row>
    <row r="30" hidden="1">
      <c r="A30" s="16"/>
      <c r="B30" s="23"/>
      <c r="C30" s="31"/>
      <c r="D30" s="31" t="s">
        <v>120</v>
      </c>
      <c r="E30" s="33" t="s">
        <v>147</v>
      </c>
      <c r="F30" s="33"/>
      <c r="G30" s="33"/>
      <c r="H30" s="40"/>
      <c r="I30" s="40"/>
      <c r="J30" s="41"/>
      <c r="K30" s="41"/>
      <c r="L30" s="41"/>
      <c r="M30" s="41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</row>
    <row r="31">
      <c r="A31" s="16"/>
      <c r="B31" s="49"/>
      <c r="C31" s="57"/>
      <c r="D31" s="57"/>
      <c r="E31" s="57"/>
      <c r="F31" s="57"/>
      <c r="G31" s="57"/>
      <c r="H31" s="57"/>
      <c r="I31" s="57"/>
      <c r="J31" s="58">
        <f>SUM(J11:J20)</f>
        <v>40</v>
      </c>
      <c r="K31" s="56"/>
      <c r="L31" s="56"/>
      <c r="M31" s="5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>
      <c r="A32" s="16"/>
      <c r="B32" s="55" t="s">
        <v>82</v>
      </c>
      <c r="C32" s="55" t="s">
        <v>76</v>
      </c>
      <c r="D32" s="40" t="s">
        <v>112</v>
      </c>
      <c r="E32" s="40" t="s">
        <v>195</v>
      </c>
      <c r="F32" s="40" t="s">
        <v>183</v>
      </c>
      <c r="G32" s="40" t="s">
        <v>184</v>
      </c>
      <c r="H32" s="40" t="s">
        <v>165</v>
      </c>
      <c r="I32" s="40" t="s">
        <v>196</v>
      </c>
      <c r="J32" s="59">
        <v>15.0</v>
      </c>
      <c r="K32" s="55">
        <v>8.0</v>
      </c>
      <c r="L32" s="55">
        <v>5.0</v>
      </c>
      <c r="M32" s="55">
        <v>3.0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</row>
    <row r="33">
      <c r="A33" s="16"/>
      <c r="B33" s="30"/>
      <c r="C33" s="30"/>
      <c r="D33" s="40" t="s">
        <v>112</v>
      </c>
      <c r="E33" s="40" t="s">
        <v>197</v>
      </c>
      <c r="F33" s="40" t="s">
        <v>198</v>
      </c>
      <c r="G33" s="40" t="s">
        <v>184</v>
      </c>
      <c r="H33" s="40" t="s">
        <v>165</v>
      </c>
      <c r="I33" s="40" t="s">
        <v>170</v>
      </c>
      <c r="J33" s="30"/>
      <c r="K33" s="30"/>
      <c r="L33" s="30"/>
      <c r="M33" s="30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>
      <c r="A34" s="16"/>
      <c r="B34" s="30"/>
      <c r="C34" s="23"/>
      <c r="D34" s="44" t="s">
        <v>116</v>
      </c>
      <c r="E34" s="44" t="s">
        <v>83</v>
      </c>
      <c r="F34" s="44" t="s">
        <v>180</v>
      </c>
      <c r="G34" s="44" t="s">
        <v>187</v>
      </c>
      <c r="H34" s="44" t="s">
        <v>165</v>
      </c>
      <c r="I34" s="44" t="s">
        <v>170</v>
      </c>
      <c r="J34" s="23"/>
      <c r="K34" s="23"/>
      <c r="L34" s="23"/>
      <c r="M34" s="23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  <row r="35">
      <c r="A35" s="16"/>
      <c r="B35" s="30"/>
      <c r="C35" s="55" t="s">
        <v>167</v>
      </c>
      <c r="D35" s="40" t="s">
        <v>112</v>
      </c>
      <c r="E35" s="40" t="s">
        <v>199</v>
      </c>
      <c r="F35" s="40" t="s">
        <v>180</v>
      </c>
      <c r="G35" s="40" t="s">
        <v>181</v>
      </c>
      <c r="H35" s="40" t="s">
        <v>165</v>
      </c>
      <c r="I35" s="40" t="s">
        <v>170</v>
      </c>
      <c r="J35" s="59">
        <v>15.0</v>
      </c>
      <c r="K35" s="55">
        <v>7.0</v>
      </c>
      <c r="L35" s="55">
        <v>4.0</v>
      </c>
      <c r="M35" s="55">
        <v>2.0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16"/>
      <c r="B36" s="30"/>
      <c r="C36" s="30"/>
      <c r="D36" s="40" t="s">
        <v>112</v>
      </c>
      <c r="E36" s="40" t="s">
        <v>200</v>
      </c>
      <c r="F36" s="40" t="s">
        <v>180</v>
      </c>
      <c r="G36" s="40" t="s">
        <v>184</v>
      </c>
      <c r="H36" s="40" t="s">
        <v>165</v>
      </c>
      <c r="I36" s="40" t="s">
        <v>170</v>
      </c>
      <c r="J36" s="30"/>
      <c r="K36" s="30"/>
      <c r="L36" s="30"/>
      <c r="M36" s="30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</row>
    <row r="37">
      <c r="A37" s="16"/>
      <c r="B37" s="30"/>
      <c r="C37" s="23"/>
      <c r="D37" s="44" t="s">
        <v>116</v>
      </c>
      <c r="E37" s="44" t="s">
        <v>84</v>
      </c>
      <c r="F37" s="44" t="s">
        <v>180</v>
      </c>
      <c r="G37" s="44" t="s">
        <v>187</v>
      </c>
      <c r="H37" s="44" t="s">
        <v>165</v>
      </c>
      <c r="I37" s="44" t="s">
        <v>170</v>
      </c>
      <c r="J37" s="23"/>
      <c r="K37" s="23"/>
      <c r="L37" s="23"/>
      <c r="M37" s="23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  <row r="38">
      <c r="A38" s="16"/>
      <c r="B38" s="30"/>
      <c r="C38" s="55" t="s">
        <v>171</v>
      </c>
      <c r="D38" s="40" t="s">
        <v>112</v>
      </c>
      <c r="E38" s="40" t="s">
        <v>201</v>
      </c>
      <c r="F38" s="40" t="s">
        <v>180</v>
      </c>
      <c r="G38" s="40" t="s">
        <v>184</v>
      </c>
      <c r="H38" s="40" t="s">
        <v>165</v>
      </c>
      <c r="I38" s="40" t="s">
        <v>170</v>
      </c>
      <c r="J38" s="59">
        <v>15.0</v>
      </c>
      <c r="K38" s="55">
        <v>7.0</v>
      </c>
      <c r="L38" s="55">
        <v>4.0</v>
      </c>
      <c r="M38" s="55">
        <v>2.0</v>
      </c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  <row r="39">
      <c r="A39" s="16"/>
      <c r="B39" s="30"/>
      <c r="C39" s="30"/>
      <c r="D39" s="40" t="s">
        <v>112</v>
      </c>
      <c r="E39" s="40" t="s">
        <v>202</v>
      </c>
      <c r="F39" s="40" t="s">
        <v>180</v>
      </c>
      <c r="G39" s="40" t="s">
        <v>181</v>
      </c>
      <c r="H39" s="40" t="s">
        <v>165</v>
      </c>
      <c r="I39" s="40" t="s">
        <v>170</v>
      </c>
      <c r="J39" s="30"/>
      <c r="K39" s="30"/>
      <c r="L39" s="30"/>
      <c r="M39" s="30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</row>
    <row r="40">
      <c r="A40" s="16"/>
      <c r="B40" s="30"/>
      <c r="C40" s="23"/>
      <c r="D40" s="44" t="s">
        <v>116</v>
      </c>
      <c r="E40" s="44" t="s">
        <v>85</v>
      </c>
      <c r="F40" s="44" t="s">
        <v>180</v>
      </c>
      <c r="G40" s="44" t="s">
        <v>187</v>
      </c>
      <c r="H40" s="44" t="s">
        <v>165</v>
      </c>
      <c r="I40" s="44" t="s">
        <v>170</v>
      </c>
      <c r="J40" s="23"/>
      <c r="K40" s="23"/>
      <c r="L40" s="23"/>
      <c r="M40" s="23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  <row r="41">
      <c r="A41" s="16"/>
      <c r="B41" s="30"/>
      <c r="C41" s="55" t="s">
        <v>203</v>
      </c>
      <c r="D41" s="40" t="s">
        <v>112</v>
      </c>
      <c r="E41" s="40" t="s">
        <v>204</v>
      </c>
      <c r="F41" s="40" t="s">
        <v>193</v>
      </c>
      <c r="G41" s="40" t="s">
        <v>184</v>
      </c>
      <c r="H41" s="40" t="s">
        <v>165</v>
      </c>
      <c r="I41" s="40" t="s">
        <v>170</v>
      </c>
      <c r="J41" s="59">
        <v>15.0</v>
      </c>
      <c r="K41" s="55">
        <v>8.0</v>
      </c>
      <c r="L41" s="55">
        <v>5.0</v>
      </c>
      <c r="M41" s="55">
        <v>3.0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>
      <c r="A42" s="16"/>
      <c r="B42" s="30"/>
      <c r="C42" s="30"/>
      <c r="D42" s="40" t="s">
        <v>112</v>
      </c>
      <c r="E42" s="40" t="s">
        <v>205</v>
      </c>
      <c r="F42" s="40" t="s">
        <v>206</v>
      </c>
      <c r="G42" s="40" t="s">
        <v>184</v>
      </c>
      <c r="H42" s="40" t="s">
        <v>165</v>
      </c>
      <c r="I42" s="40" t="s">
        <v>170</v>
      </c>
      <c r="J42" s="30"/>
      <c r="K42" s="30"/>
      <c r="L42" s="30"/>
      <c r="M42" s="30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>
      <c r="A43" s="16"/>
      <c r="B43" s="23"/>
      <c r="C43" s="23"/>
      <c r="D43" s="44" t="s">
        <v>116</v>
      </c>
      <c r="E43" s="44" t="s">
        <v>86</v>
      </c>
      <c r="F43" s="44" t="s">
        <v>180</v>
      </c>
      <c r="G43" s="44" t="s">
        <v>187</v>
      </c>
      <c r="H43" s="44" t="s">
        <v>165</v>
      </c>
      <c r="I43" s="44" t="s">
        <v>170</v>
      </c>
      <c r="J43" s="23"/>
      <c r="K43" s="23"/>
      <c r="L43" s="23"/>
      <c r="M43" s="23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ht="18.0" customHeight="1">
      <c r="A44" s="16"/>
      <c r="B44" s="56"/>
      <c r="C44" s="56"/>
      <c r="D44" s="56"/>
      <c r="E44" s="56"/>
      <c r="F44" s="56"/>
      <c r="G44" s="56"/>
      <c r="H44" s="56"/>
      <c r="I44" s="56"/>
      <c r="J44" s="56">
        <f t="shared" ref="J44:M44" si="1">SUM(J32:J43)</f>
        <v>60</v>
      </c>
      <c r="K44" s="56">
        <f t="shared" si="1"/>
        <v>30</v>
      </c>
      <c r="L44" s="56">
        <f t="shared" si="1"/>
        <v>18</v>
      </c>
      <c r="M44" s="56">
        <f t="shared" si="1"/>
        <v>10</v>
      </c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>
      <c r="A45" s="16"/>
      <c r="B45" s="60" t="s">
        <v>207</v>
      </c>
      <c r="C45" s="11"/>
      <c r="D45" s="11"/>
      <c r="E45" s="11"/>
      <c r="F45" s="11"/>
      <c r="G45" s="11"/>
      <c r="H45" s="11"/>
      <c r="I45" s="12"/>
      <c r="J45" s="61">
        <f t="shared" ref="J45:M45" si="2">SUM(J10+J31+J44)</f>
        <v>140</v>
      </c>
      <c r="K45" s="61">
        <f t="shared" si="2"/>
        <v>30</v>
      </c>
      <c r="L45" s="61">
        <f t="shared" si="2"/>
        <v>18</v>
      </c>
      <c r="M45" s="61">
        <f t="shared" si="2"/>
        <v>10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>
      <c r="A47" s="16"/>
      <c r="B47" s="62"/>
      <c r="C47" s="63"/>
      <c r="D47" s="62"/>
      <c r="E47" s="62"/>
      <c r="F47" s="62"/>
      <c r="G47" s="62"/>
      <c r="H47" s="63"/>
      <c r="I47" s="62"/>
      <c r="J47" s="62"/>
      <c r="K47" s="62"/>
      <c r="L47" s="62"/>
      <c r="M47" s="62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>
      <c r="A48" s="16"/>
      <c r="B48" s="64"/>
      <c r="C48" s="65"/>
      <c r="D48" s="64"/>
      <c r="E48" s="64"/>
      <c r="F48" s="64"/>
      <c r="G48" s="64"/>
      <c r="H48" s="16"/>
      <c r="I48" s="64"/>
      <c r="J48" s="64"/>
      <c r="K48" s="64"/>
      <c r="L48" s="64"/>
      <c r="M48" s="64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>
      <c r="A49" s="16"/>
      <c r="B49" s="66" t="s">
        <v>208</v>
      </c>
      <c r="C49" s="67"/>
      <c r="D49" s="64"/>
      <c r="E49" s="64"/>
      <c r="F49" s="64"/>
      <c r="G49" s="64"/>
      <c r="H49" s="16"/>
      <c r="I49" s="64"/>
      <c r="J49" s="64"/>
      <c r="K49" s="64"/>
      <c r="L49" s="64"/>
      <c r="M49" s="64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>
      <c r="A50" s="16"/>
      <c r="B50" s="39" t="s">
        <v>209</v>
      </c>
      <c r="C50" s="39" t="s">
        <v>210</v>
      </c>
      <c r="D50" s="39" t="s">
        <v>211</v>
      </c>
      <c r="E50" s="39" t="s">
        <v>212</v>
      </c>
      <c r="F50" s="39" t="s">
        <v>213</v>
      </c>
      <c r="G50" s="39" t="s">
        <v>214</v>
      </c>
      <c r="H50" s="4" t="s">
        <v>28</v>
      </c>
      <c r="I50" s="64"/>
      <c r="J50" s="64"/>
      <c r="K50" s="64"/>
      <c r="L50" s="64"/>
      <c r="M50" s="64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>
      <c r="A51" s="68"/>
      <c r="B51" s="40">
        <v>1.0</v>
      </c>
      <c r="C51" s="40" t="s">
        <v>215</v>
      </c>
      <c r="D51" s="40" t="s">
        <v>216</v>
      </c>
      <c r="E51" s="69" t="s">
        <v>217</v>
      </c>
      <c r="F51" s="40" t="s">
        <v>218</v>
      </c>
      <c r="G51" s="70" t="s">
        <v>219</v>
      </c>
      <c r="H51" s="40"/>
      <c r="I51" s="64"/>
      <c r="J51" s="64"/>
      <c r="K51" s="64"/>
      <c r="L51" s="64"/>
      <c r="M51" s="64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>
      <c r="A52" s="68"/>
      <c r="B52" s="40">
        <v>2.0</v>
      </c>
      <c r="C52" s="40" t="s">
        <v>76</v>
      </c>
      <c r="D52" s="40" t="s">
        <v>220</v>
      </c>
      <c r="E52" s="69" t="s">
        <v>221</v>
      </c>
      <c r="F52" s="40" t="s">
        <v>222</v>
      </c>
      <c r="G52" s="70" t="s">
        <v>223</v>
      </c>
      <c r="H52" s="40"/>
      <c r="I52" s="64"/>
      <c r="J52" s="64"/>
      <c r="K52" s="64"/>
      <c r="L52" s="64"/>
      <c r="M52" s="64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>
      <c r="A53" s="68"/>
      <c r="B53" s="40">
        <v>3.0</v>
      </c>
      <c r="C53" s="40" t="s">
        <v>76</v>
      </c>
      <c r="D53" s="40" t="s">
        <v>224</v>
      </c>
      <c r="E53" s="69" t="s">
        <v>225</v>
      </c>
      <c r="F53" s="40" t="s">
        <v>226</v>
      </c>
      <c r="G53" s="70" t="s">
        <v>227</v>
      </c>
      <c r="H53" s="40"/>
      <c r="I53" s="64"/>
      <c r="J53" s="64"/>
      <c r="K53" s="64"/>
      <c r="L53" s="64"/>
      <c r="M53" s="64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>
      <c r="A54" s="68"/>
      <c r="B54" s="40">
        <v>4.0</v>
      </c>
      <c r="C54" s="40" t="s">
        <v>167</v>
      </c>
      <c r="D54" s="40" t="s">
        <v>228</v>
      </c>
      <c r="E54" s="70" t="s">
        <v>229</v>
      </c>
      <c r="F54" s="40" t="s">
        <v>230</v>
      </c>
      <c r="G54" s="70" t="s">
        <v>231</v>
      </c>
      <c r="H54" s="40"/>
      <c r="I54" s="64"/>
      <c r="J54" s="64"/>
      <c r="K54" s="64"/>
      <c r="L54" s="64"/>
      <c r="M54" s="64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>
      <c r="A55" s="16"/>
      <c r="B55" s="40">
        <v>5.0</v>
      </c>
      <c r="C55" s="40" t="s">
        <v>167</v>
      </c>
      <c r="D55" s="40" t="s">
        <v>232</v>
      </c>
      <c r="E55" s="69" t="s">
        <v>233</v>
      </c>
      <c r="F55" s="40" t="s">
        <v>234</v>
      </c>
      <c r="G55" s="70" t="s">
        <v>235</v>
      </c>
      <c r="H55" s="41"/>
      <c r="I55" s="64"/>
      <c r="J55" s="64"/>
      <c r="K55" s="64"/>
      <c r="L55" s="64"/>
      <c r="M55" s="64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>
      <c r="A56" s="68"/>
      <c r="B56" s="40">
        <v>6.0</v>
      </c>
      <c r="C56" s="40" t="s">
        <v>167</v>
      </c>
      <c r="D56" s="40" t="s">
        <v>236</v>
      </c>
      <c r="E56" s="69" t="s">
        <v>237</v>
      </c>
      <c r="F56" s="40" t="s">
        <v>238</v>
      </c>
      <c r="G56" s="70" t="s">
        <v>239</v>
      </c>
      <c r="H56" s="40"/>
      <c r="I56" s="64"/>
      <c r="J56" s="64"/>
      <c r="K56" s="64"/>
      <c r="L56" s="64"/>
      <c r="M56" s="64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>
      <c r="A57" s="16"/>
      <c r="B57" s="40">
        <v>7.0</v>
      </c>
      <c r="C57" s="40" t="s">
        <v>167</v>
      </c>
      <c r="D57" s="40" t="s">
        <v>240</v>
      </c>
      <c r="E57" s="69" t="s">
        <v>241</v>
      </c>
      <c r="F57" s="40" t="s">
        <v>242</v>
      </c>
      <c r="G57" s="70" t="s">
        <v>243</v>
      </c>
      <c r="H57" s="41"/>
      <c r="I57" s="64"/>
      <c r="J57" s="64"/>
      <c r="K57" s="64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>
      <c r="A58" s="16"/>
      <c r="B58" s="40">
        <v>8.0</v>
      </c>
      <c r="C58" s="40" t="s">
        <v>167</v>
      </c>
      <c r="D58" s="40" t="s">
        <v>244</v>
      </c>
      <c r="E58" s="69" t="s">
        <v>245</v>
      </c>
      <c r="F58" s="40" t="s">
        <v>246</v>
      </c>
      <c r="G58" s="70" t="s">
        <v>247</v>
      </c>
      <c r="H58" s="41"/>
      <c r="I58" s="64"/>
      <c r="J58" s="64"/>
      <c r="K58" s="64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>
      <c r="A59" s="16"/>
      <c r="B59" s="40">
        <v>9.0</v>
      </c>
      <c r="C59" s="40" t="s">
        <v>167</v>
      </c>
      <c r="D59" s="40" t="s">
        <v>248</v>
      </c>
      <c r="E59" s="70" t="s">
        <v>249</v>
      </c>
      <c r="F59" s="40" t="s">
        <v>250</v>
      </c>
      <c r="G59" s="70" t="s">
        <v>251</v>
      </c>
      <c r="H59" s="40"/>
      <c r="I59" s="64"/>
      <c r="J59" s="64"/>
      <c r="K59" s="64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>
      <c r="A60" s="16"/>
      <c r="B60" s="40">
        <v>10.0</v>
      </c>
      <c r="C60" s="40" t="s">
        <v>167</v>
      </c>
      <c r="D60" s="40" t="s">
        <v>252</v>
      </c>
      <c r="E60" s="69" t="s">
        <v>253</v>
      </c>
      <c r="F60" s="40" t="s">
        <v>254</v>
      </c>
      <c r="G60" s="41"/>
      <c r="H60" s="40"/>
      <c r="I60" s="64"/>
      <c r="J60" s="64"/>
      <c r="K60" s="64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>
      <c r="A61" s="16"/>
      <c r="B61" s="40">
        <v>11.0</v>
      </c>
      <c r="C61" s="40" t="s">
        <v>167</v>
      </c>
      <c r="D61" s="40" t="s">
        <v>255</v>
      </c>
      <c r="E61" s="70" t="s">
        <v>256</v>
      </c>
      <c r="F61" s="40" t="s">
        <v>257</v>
      </c>
      <c r="G61" s="70" t="s">
        <v>258</v>
      </c>
      <c r="H61" s="40"/>
      <c r="I61" s="64"/>
      <c r="J61" s="64"/>
      <c r="K61" s="64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>
      <c r="A62" s="16"/>
      <c r="B62" s="40">
        <v>12.0</v>
      </c>
      <c r="C62" s="40" t="s">
        <v>167</v>
      </c>
      <c r="D62" s="40" t="s">
        <v>259</v>
      </c>
      <c r="E62" s="70" t="s">
        <v>260</v>
      </c>
      <c r="F62" s="40" t="s">
        <v>261</v>
      </c>
      <c r="G62" s="70" t="s">
        <v>262</v>
      </c>
      <c r="H62" s="40"/>
      <c r="I62" s="64"/>
      <c r="J62" s="64"/>
      <c r="K62" s="64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>
      <c r="A63" s="16"/>
      <c r="B63" s="40">
        <v>13.0</v>
      </c>
      <c r="C63" s="40" t="s">
        <v>171</v>
      </c>
      <c r="D63" s="40" t="s">
        <v>263</v>
      </c>
      <c r="E63" s="69" t="s">
        <v>264</v>
      </c>
      <c r="F63" s="40" t="s">
        <v>265</v>
      </c>
      <c r="G63" s="70" t="s">
        <v>266</v>
      </c>
      <c r="H63" s="71"/>
      <c r="I63" s="64"/>
      <c r="J63" s="64"/>
      <c r="K63" s="64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>
      <c r="A64" s="16"/>
      <c r="B64" s="40">
        <v>14.0</v>
      </c>
      <c r="C64" s="40" t="s">
        <v>171</v>
      </c>
      <c r="D64" s="40" t="s">
        <v>267</v>
      </c>
      <c r="E64" s="70" t="s">
        <v>268</v>
      </c>
      <c r="F64" s="41"/>
      <c r="G64" s="70" t="s">
        <v>269</v>
      </c>
      <c r="H64" s="71"/>
      <c r="I64" s="64"/>
      <c r="J64" s="64"/>
      <c r="K64" s="64"/>
      <c r="L64" s="64"/>
      <c r="M64" s="64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>
      <c r="A65" s="16"/>
      <c r="B65" s="40">
        <v>15.0</v>
      </c>
      <c r="C65" s="40" t="s">
        <v>174</v>
      </c>
      <c r="D65" s="40" t="s">
        <v>270</v>
      </c>
      <c r="E65" s="70" t="s">
        <v>271</v>
      </c>
      <c r="F65" s="40" t="s">
        <v>272</v>
      </c>
      <c r="G65" s="70" t="s">
        <v>273</v>
      </c>
      <c r="H65" s="40"/>
      <c r="I65" s="64"/>
      <c r="J65" s="64"/>
      <c r="K65" s="64"/>
      <c r="L65" s="64"/>
      <c r="M65" s="64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>
      <c r="A66" s="16"/>
      <c r="B66" s="40">
        <v>16.0</v>
      </c>
      <c r="C66" s="40" t="s">
        <v>174</v>
      </c>
      <c r="D66" s="40" t="s">
        <v>274</v>
      </c>
      <c r="E66" s="69" t="s">
        <v>275</v>
      </c>
      <c r="F66" s="40" t="s">
        <v>276</v>
      </c>
      <c r="G66" s="70" t="s">
        <v>277</v>
      </c>
      <c r="H66" s="40"/>
      <c r="I66" s="64"/>
      <c r="J66" s="64"/>
      <c r="K66" s="64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>
      <c r="A67" s="16"/>
      <c r="B67" s="40">
        <v>17.0</v>
      </c>
      <c r="C67" s="40" t="s">
        <v>177</v>
      </c>
      <c r="D67" s="40" t="s">
        <v>278</v>
      </c>
      <c r="E67" s="69" t="s">
        <v>279</v>
      </c>
      <c r="F67" s="40" t="s">
        <v>280</v>
      </c>
      <c r="G67" s="70" t="s">
        <v>281</v>
      </c>
      <c r="H67" s="41"/>
      <c r="I67" s="64"/>
      <c r="J67" s="64"/>
      <c r="K67" s="64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>
      <c r="A68" s="68"/>
      <c r="B68" s="40">
        <v>18.0</v>
      </c>
      <c r="C68" s="40" t="s">
        <v>177</v>
      </c>
      <c r="D68" s="40" t="s">
        <v>282</v>
      </c>
      <c r="E68" s="69" t="s">
        <v>283</v>
      </c>
      <c r="F68" s="40" t="s">
        <v>284</v>
      </c>
      <c r="G68" s="41"/>
      <c r="H68" s="40"/>
      <c r="I68" s="64"/>
      <c r="J68" s="64"/>
      <c r="K68" s="64"/>
      <c r="L68" s="64"/>
      <c r="M68" s="64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>
      <c r="A69" s="16"/>
      <c r="B69" s="16"/>
      <c r="C69" s="16"/>
      <c r="D69" s="16"/>
      <c r="E69" s="16"/>
      <c r="F69" s="16"/>
      <c r="G69" s="16"/>
      <c r="H69" s="16"/>
      <c r="I69" s="64"/>
      <c r="J69" s="64"/>
      <c r="K69" s="64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>
      <c r="A70" s="16"/>
      <c r="B70" s="16"/>
      <c r="C70" s="16"/>
      <c r="D70" s="16"/>
      <c r="E70" s="16"/>
      <c r="F70" s="16"/>
      <c r="G70" s="16"/>
      <c r="H70" s="16"/>
      <c r="I70" s="64"/>
      <c r="J70" s="64"/>
      <c r="K70" s="64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>
      <c r="A71" s="16"/>
      <c r="B71" s="16"/>
      <c r="C71" s="16"/>
      <c r="D71" s="16"/>
      <c r="E71" s="16"/>
      <c r="F71" s="16"/>
      <c r="G71" s="16"/>
      <c r="H71" s="16"/>
      <c r="I71" s="64"/>
      <c r="J71" s="64"/>
      <c r="K71" s="64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>
      <c r="A72" s="16"/>
      <c r="B72" s="16"/>
      <c r="C72" s="16"/>
      <c r="D72" s="16"/>
      <c r="E72" s="16"/>
      <c r="F72" s="16"/>
      <c r="G72" s="16"/>
      <c r="H72" s="16"/>
      <c r="I72" s="64"/>
      <c r="J72" s="64"/>
      <c r="K72" s="64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>
      <c r="A73" s="16"/>
      <c r="B73" s="16"/>
      <c r="C73" s="16"/>
      <c r="D73" s="16"/>
      <c r="E73" s="16"/>
      <c r="F73" s="16"/>
      <c r="G73" s="16"/>
      <c r="H73" s="16"/>
      <c r="I73" s="64"/>
      <c r="J73" s="64"/>
      <c r="K73" s="64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>
      <c r="A74" s="16"/>
      <c r="B74" s="16"/>
      <c r="C74" s="16"/>
      <c r="D74" s="16"/>
      <c r="E74" s="16"/>
      <c r="F74" s="16"/>
      <c r="G74" s="16"/>
      <c r="H74" s="16"/>
      <c r="I74" s="64"/>
      <c r="J74" s="64"/>
      <c r="K74" s="64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>
      <c r="A75" s="16"/>
      <c r="B75" s="16"/>
      <c r="C75" s="16"/>
      <c r="D75" s="16"/>
      <c r="E75" s="16"/>
      <c r="F75" s="16"/>
      <c r="G75" s="16"/>
      <c r="H75" s="16"/>
      <c r="I75" s="64"/>
      <c r="J75" s="64"/>
      <c r="K75" s="64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>
      <c r="A76" s="16"/>
      <c r="B76" s="16"/>
      <c r="C76" s="16"/>
      <c r="D76" s="16"/>
      <c r="E76" s="16"/>
      <c r="F76" s="16"/>
      <c r="G76" s="16"/>
      <c r="H76" s="16"/>
      <c r="I76" s="64"/>
      <c r="J76" s="64"/>
      <c r="K76" s="64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6"/>
      <c r="D77" s="16"/>
      <c r="E77" s="16"/>
      <c r="F77" s="16"/>
      <c r="G77" s="16"/>
      <c r="H77" s="16"/>
      <c r="I77" s="64"/>
      <c r="J77" s="64"/>
      <c r="K77" s="64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6"/>
      <c r="D78" s="16"/>
      <c r="E78" s="16"/>
      <c r="F78" s="16"/>
      <c r="G78" s="16"/>
      <c r="H78" s="16"/>
      <c r="I78" s="64"/>
      <c r="J78" s="64"/>
      <c r="K78" s="64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6"/>
      <c r="D79" s="16"/>
      <c r="E79" s="16"/>
      <c r="F79" s="16"/>
      <c r="G79" s="16"/>
      <c r="H79" s="16"/>
      <c r="I79" s="64"/>
      <c r="J79" s="64"/>
      <c r="K79" s="64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6"/>
      <c r="D80" s="16"/>
      <c r="E80" s="16"/>
      <c r="F80" s="16"/>
      <c r="G80" s="16"/>
      <c r="H80" s="16"/>
      <c r="I80" s="64"/>
      <c r="J80" s="64"/>
      <c r="K80" s="64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6"/>
      <c r="D81" s="16"/>
      <c r="E81" s="16"/>
      <c r="F81" s="16"/>
      <c r="G81" s="16"/>
      <c r="H81" s="16"/>
      <c r="I81" s="64"/>
      <c r="J81" s="64"/>
      <c r="K81" s="64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6"/>
      <c r="D82" s="16"/>
      <c r="E82" s="16"/>
      <c r="F82" s="16"/>
      <c r="G82" s="16"/>
      <c r="H82" s="16"/>
      <c r="I82" s="64"/>
      <c r="J82" s="64"/>
      <c r="K82" s="64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6"/>
      <c r="D83" s="16"/>
      <c r="E83" s="16"/>
      <c r="F83" s="16"/>
      <c r="G83" s="16"/>
      <c r="H83" s="16"/>
      <c r="I83" s="64"/>
      <c r="J83" s="64"/>
      <c r="K83" s="64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6"/>
      <c r="D84" s="16"/>
      <c r="E84" s="16"/>
      <c r="F84" s="16"/>
      <c r="G84" s="16"/>
      <c r="H84" s="16"/>
      <c r="I84" s="64"/>
      <c r="J84" s="64"/>
      <c r="K84" s="64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6"/>
      <c r="D85" s="16"/>
      <c r="E85" s="16"/>
      <c r="F85" s="16"/>
      <c r="G85" s="16"/>
      <c r="H85" s="16"/>
      <c r="I85" s="64"/>
      <c r="J85" s="64"/>
      <c r="K85" s="64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6"/>
      <c r="D86" s="16"/>
      <c r="E86" s="16"/>
      <c r="F86" s="16"/>
      <c r="G86" s="16"/>
      <c r="H86" s="16"/>
      <c r="I86" s="64"/>
      <c r="J86" s="64"/>
      <c r="K86" s="64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54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54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54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54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54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54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54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54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54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54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54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54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54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54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54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54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54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54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54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54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54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54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54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54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54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54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54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54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54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54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54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54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54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54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54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54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54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54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54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54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54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54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54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54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54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54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54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54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54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54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54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54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54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54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54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54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54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54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54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54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54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54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54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54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54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54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54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54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54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54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54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54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54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54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54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54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54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54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54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54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54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54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54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54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54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54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54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54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54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54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54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54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54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54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54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54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54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54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54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54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54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54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54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54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54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54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54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54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54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54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54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54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54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54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54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54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54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54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54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54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54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54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54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54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54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54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54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54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54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54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54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54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54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54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54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54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54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54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54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54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54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54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54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54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54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54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54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54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54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54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54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54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54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54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54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54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54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54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54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54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54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54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54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54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54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54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54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54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54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54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54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54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54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54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54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54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54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54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54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54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54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54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54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54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54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54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54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54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54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54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54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54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54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54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54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54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54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54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54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54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54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54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54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54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54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54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54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54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54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54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54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54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54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54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54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54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54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54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54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54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54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54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54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54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54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54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54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54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54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54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54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54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54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54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54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54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54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54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54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54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54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54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54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54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54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54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54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54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54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54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54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54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54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54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54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54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54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54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54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54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54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54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54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54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54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54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54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54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54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54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54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54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54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54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54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54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54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54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54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54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54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54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54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54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54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54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54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54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54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54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54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54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54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54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54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54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54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54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54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54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54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54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54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54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54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54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54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54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54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54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54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54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54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54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54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54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54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54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54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54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54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54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54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54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54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54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54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54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54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54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54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54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54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54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54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54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54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54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54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54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54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54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54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54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54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54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54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54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54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54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54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54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54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54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54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54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54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54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54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54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54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54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54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54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54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54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54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54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54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54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54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54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54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54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54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54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54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54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54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54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54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54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54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54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54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54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54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54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54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54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54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54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54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54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54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54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54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54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54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54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54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54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54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54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54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54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54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54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54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54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54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54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54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54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54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54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54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54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54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54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54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54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54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54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54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54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54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54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54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54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54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54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54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54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54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54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54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54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54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54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54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54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54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54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54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54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54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54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54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54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54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54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54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54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54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54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54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54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54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54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54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54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54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54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54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54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54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54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54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54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54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54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54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54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54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54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54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54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54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54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54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54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54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54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54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54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54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54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54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54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54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54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54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54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54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54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54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54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54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54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54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54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54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54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54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54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54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54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54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54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54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54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54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54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54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54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54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54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54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54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54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54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54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54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54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54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54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54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54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54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54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54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54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54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54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54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54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54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54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54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54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54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54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54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54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54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54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54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54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54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54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54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54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54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54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54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54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54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54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54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54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54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54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54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54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54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54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54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54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54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54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54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54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54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54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54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54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54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54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54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54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54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54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54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54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54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54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54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54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54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54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54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54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54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54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54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54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54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54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54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54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54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54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54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54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54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54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54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54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54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54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54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54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54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54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54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54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54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54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54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54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54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54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54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54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54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54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54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54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54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54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54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54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54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</sheetData>
  <mergeCells count="31">
    <mergeCell ref="J32:J34"/>
    <mergeCell ref="J38:J40"/>
    <mergeCell ref="L41:L43"/>
    <mergeCell ref="M41:M43"/>
    <mergeCell ref="B11:B20"/>
    <mergeCell ref="B21:B30"/>
    <mergeCell ref="B32:B43"/>
    <mergeCell ref="K32:K34"/>
    <mergeCell ref="L32:L34"/>
    <mergeCell ref="M32:M34"/>
    <mergeCell ref="M38:M40"/>
    <mergeCell ref="B2:D2"/>
    <mergeCell ref="B4:B9"/>
    <mergeCell ref="C11:C12"/>
    <mergeCell ref="C13:C14"/>
    <mergeCell ref="C15:C16"/>
    <mergeCell ref="C17:C18"/>
    <mergeCell ref="C19:C20"/>
    <mergeCell ref="C32:C34"/>
    <mergeCell ref="C35:C37"/>
    <mergeCell ref="J35:J37"/>
    <mergeCell ref="K35:K37"/>
    <mergeCell ref="L35:L37"/>
    <mergeCell ref="M35:M37"/>
    <mergeCell ref="K38:K40"/>
    <mergeCell ref="L38:L40"/>
    <mergeCell ref="C38:C40"/>
    <mergeCell ref="C41:C43"/>
    <mergeCell ref="J41:J43"/>
    <mergeCell ref="K41:K43"/>
    <mergeCell ref="B45:I45"/>
  </mergeCells>
  <hyperlinks>
    <hyperlink r:id="rId1" ref="E51"/>
    <hyperlink r:id="rId2" ref="G51"/>
    <hyperlink r:id="rId3" ref="E52"/>
    <hyperlink r:id="rId4" ref="G52"/>
    <hyperlink r:id="rId5" ref="E53"/>
    <hyperlink r:id="rId6" ref="G53"/>
    <hyperlink r:id="rId7" ref="E54"/>
    <hyperlink r:id="rId8" ref="G54"/>
    <hyperlink r:id="rId9" ref="E55"/>
    <hyperlink r:id="rId10" ref="G55"/>
    <hyperlink r:id="rId11" ref="E56"/>
    <hyperlink r:id="rId12" ref="G56"/>
    <hyperlink r:id="rId13" ref="E57"/>
    <hyperlink r:id="rId14" ref="G57"/>
    <hyperlink r:id="rId15" ref="E58"/>
    <hyperlink r:id="rId16" ref="G58"/>
    <hyperlink r:id="rId17" ref="E59"/>
    <hyperlink r:id="rId18" ref="G59"/>
    <hyperlink r:id="rId19" ref="E60"/>
    <hyperlink r:id="rId20" ref="E61"/>
    <hyperlink r:id="rId21" ref="G61"/>
    <hyperlink r:id="rId22" ref="E62"/>
    <hyperlink r:id="rId23" ref="G62"/>
    <hyperlink r:id="rId24" ref="E63"/>
    <hyperlink r:id="rId25" ref="G63"/>
    <hyperlink r:id="rId26" ref="E64"/>
    <hyperlink r:id="rId27" ref="G64"/>
    <hyperlink r:id="rId28" ref="E65"/>
    <hyperlink r:id="rId29" ref="G65"/>
    <hyperlink r:id="rId30" ref="E66"/>
    <hyperlink r:id="rId31" ref="G66"/>
    <hyperlink r:id="rId32" ref="E67"/>
    <hyperlink r:id="rId33" ref="G67"/>
    <hyperlink r:id="rId34" ref="E68"/>
  </hyperlinks>
  <drawing r:id="rId3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38"/>
    <col customWidth="1" min="4" max="4" width="17.38"/>
    <col customWidth="1" min="5" max="5" width="41.75"/>
    <col customWidth="1" min="6" max="6" width="44.5"/>
    <col customWidth="1" min="7" max="7" width="13.25"/>
  </cols>
  <sheetData>
    <row r="1">
      <c r="A1" s="64"/>
      <c r="B1" s="64"/>
      <c r="C1" s="64"/>
      <c r="D1" s="64"/>
      <c r="E1" s="64"/>
      <c r="F1" s="64"/>
      <c r="G1" s="65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>
      <c r="A2" s="64"/>
      <c r="B2" s="72" t="s">
        <v>285</v>
      </c>
      <c r="C2" s="64"/>
      <c r="D2" s="64"/>
      <c r="E2" s="64"/>
      <c r="F2" s="64"/>
      <c r="G2" s="65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>
      <c r="A3" s="64"/>
      <c r="B3" s="64"/>
      <c r="C3" s="64"/>
      <c r="D3" s="64"/>
      <c r="E3" s="64"/>
      <c r="F3" s="64"/>
      <c r="G3" s="65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>
      <c r="A4" s="64"/>
      <c r="B4" s="73" t="s">
        <v>286</v>
      </c>
      <c r="C4" s="73" t="s">
        <v>7</v>
      </c>
      <c r="D4" s="73" t="s">
        <v>287</v>
      </c>
      <c r="E4" s="73" t="s">
        <v>288</v>
      </c>
      <c r="F4" s="73" t="s">
        <v>289</v>
      </c>
      <c r="G4" s="74" t="s">
        <v>290</v>
      </c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>
      <c r="A5" s="64"/>
      <c r="B5" s="40">
        <v>1.0</v>
      </c>
      <c r="C5" s="40" t="s">
        <v>291</v>
      </c>
      <c r="D5" s="40" t="s">
        <v>292</v>
      </c>
      <c r="E5" s="40" t="s">
        <v>293</v>
      </c>
      <c r="F5" s="69" t="s">
        <v>294</v>
      </c>
      <c r="G5" s="75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>
      <c r="A6" s="64"/>
      <c r="B6" s="40">
        <v>2.0</v>
      </c>
      <c r="C6" s="40" t="s">
        <v>295</v>
      </c>
      <c r="D6" s="40" t="s">
        <v>296</v>
      </c>
      <c r="E6" s="40" t="s">
        <v>297</v>
      </c>
      <c r="F6" s="69" t="s">
        <v>298</v>
      </c>
      <c r="G6" s="75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>
      <c r="A7" s="64"/>
      <c r="B7" s="44">
        <v>3.0</v>
      </c>
      <c r="C7" s="44" t="s">
        <v>299</v>
      </c>
      <c r="D7" s="44" t="s">
        <v>300</v>
      </c>
      <c r="E7" s="44" t="s">
        <v>301</v>
      </c>
      <c r="F7" s="76" t="s">
        <v>302</v>
      </c>
      <c r="G7" s="77" t="s">
        <v>303</v>
      </c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>
      <c r="A8" s="64"/>
      <c r="B8" s="40">
        <v>4.0</v>
      </c>
      <c r="C8" s="40" t="s">
        <v>304</v>
      </c>
      <c r="D8" s="40" t="s">
        <v>296</v>
      </c>
      <c r="E8" s="40" t="s">
        <v>305</v>
      </c>
      <c r="F8" s="69" t="s">
        <v>306</v>
      </c>
      <c r="G8" s="75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>
      <c r="A9" s="64"/>
      <c r="B9" s="44">
        <v>5.0</v>
      </c>
      <c r="C9" s="44" t="s">
        <v>307</v>
      </c>
      <c r="D9" s="44" t="s">
        <v>300</v>
      </c>
      <c r="E9" s="44" t="s">
        <v>308</v>
      </c>
      <c r="F9" s="76" t="s">
        <v>309</v>
      </c>
      <c r="G9" s="77" t="s">
        <v>303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>
      <c r="A10" s="64"/>
      <c r="B10" s="40">
        <v>6.0</v>
      </c>
      <c r="C10" s="40" t="s">
        <v>14</v>
      </c>
      <c r="D10" s="40" t="s">
        <v>310</v>
      </c>
      <c r="E10" s="40" t="s">
        <v>311</v>
      </c>
      <c r="F10" s="69" t="s">
        <v>312</v>
      </c>
      <c r="G10" s="75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</row>
    <row r="11">
      <c r="A11" s="64"/>
      <c r="B11" s="40">
        <v>7.0</v>
      </c>
      <c r="C11" s="40" t="s">
        <v>313</v>
      </c>
      <c r="D11" s="40" t="s">
        <v>314</v>
      </c>
      <c r="E11" s="40" t="s">
        <v>315</v>
      </c>
      <c r="F11" s="69" t="s">
        <v>316</v>
      </c>
      <c r="G11" s="75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</row>
    <row r="12">
      <c r="A12" s="64"/>
      <c r="B12" s="40">
        <v>8.0</v>
      </c>
      <c r="C12" s="40" t="s">
        <v>317</v>
      </c>
      <c r="D12" s="40" t="s">
        <v>296</v>
      </c>
      <c r="E12" s="40" t="s">
        <v>318</v>
      </c>
      <c r="F12" s="69" t="s">
        <v>319</v>
      </c>
      <c r="G12" s="75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</row>
    <row r="13">
      <c r="A13" s="64"/>
      <c r="B13" s="40">
        <v>9.0</v>
      </c>
      <c r="C13" s="40" t="s">
        <v>320</v>
      </c>
      <c r="D13" s="40" t="s">
        <v>296</v>
      </c>
      <c r="E13" s="40" t="s">
        <v>321</v>
      </c>
      <c r="F13" s="69" t="s">
        <v>322</v>
      </c>
      <c r="G13" s="75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ht="61.5" customHeight="1">
      <c r="A14" s="64"/>
      <c r="B14" s="44">
        <v>10.0</v>
      </c>
      <c r="C14" s="78" t="s">
        <v>323</v>
      </c>
      <c r="D14" s="78" t="s">
        <v>300</v>
      </c>
      <c r="E14" s="78" t="s">
        <v>324</v>
      </c>
      <c r="F14" s="79" t="s">
        <v>325</v>
      </c>
      <c r="G14" s="45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>
      <c r="A15" s="64"/>
      <c r="B15" s="64"/>
      <c r="C15" s="64"/>
      <c r="D15" s="64"/>
      <c r="E15" s="64"/>
      <c r="F15" s="64"/>
      <c r="G15" s="65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</row>
    <row r="16">
      <c r="A16" s="64"/>
      <c r="B16" s="64"/>
      <c r="C16" s="64"/>
      <c r="D16" s="64"/>
      <c r="E16" s="64"/>
      <c r="F16" s="64"/>
      <c r="G16" s="65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</row>
    <row r="17">
      <c r="A17" s="64"/>
      <c r="B17" s="2"/>
      <c r="C17" s="2"/>
      <c r="D17" s="2"/>
      <c r="E17" s="2"/>
      <c r="F17" s="2"/>
      <c r="G17" s="2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>
      <c r="A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</row>
    <row r="19">
      <c r="A19" s="64"/>
      <c r="B19" s="64"/>
      <c r="C19" s="64"/>
      <c r="D19" s="64"/>
      <c r="E19" s="64"/>
      <c r="F19" s="64"/>
      <c r="G19" s="65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  <row r="20">
      <c r="A20" s="64"/>
      <c r="B20" s="64"/>
      <c r="C20" s="64"/>
      <c r="D20" s="64"/>
      <c r="E20" s="64"/>
      <c r="F20" s="64"/>
      <c r="G20" s="65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  <row r="21">
      <c r="A21" s="64"/>
      <c r="B21" s="64"/>
      <c r="C21" s="64"/>
      <c r="D21" s="64"/>
      <c r="E21" s="64"/>
      <c r="F21" s="64"/>
      <c r="G21" s="65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</row>
    <row r="22">
      <c r="A22" s="64"/>
      <c r="B22" s="64"/>
      <c r="C22" s="64"/>
      <c r="D22" s="64"/>
      <c r="E22" s="64"/>
      <c r="F22" s="64"/>
      <c r="G22" s="65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</row>
    <row r="23">
      <c r="A23" s="64"/>
      <c r="B23" s="64"/>
      <c r="C23" s="64"/>
      <c r="D23" s="64"/>
      <c r="E23" s="64"/>
      <c r="F23" s="64"/>
      <c r="G23" s="65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</row>
    <row r="24">
      <c r="A24" s="64"/>
      <c r="B24" s="64"/>
      <c r="C24" s="64"/>
      <c r="D24" s="64"/>
      <c r="E24" s="64"/>
      <c r="F24" s="64"/>
      <c r="G24" s="65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</row>
    <row r="25">
      <c r="A25" s="64"/>
      <c r="B25" s="64"/>
      <c r="C25" s="64"/>
      <c r="D25" s="64"/>
      <c r="E25" s="64"/>
      <c r="F25" s="64"/>
      <c r="G25" s="65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</row>
    <row r="26">
      <c r="A26" s="64"/>
      <c r="B26" s="64"/>
      <c r="C26" s="64"/>
      <c r="D26" s="64"/>
      <c r="E26" s="64"/>
      <c r="F26" s="64"/>
      <c r="G26" s="65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</row>
    <row r="27">
      <c r="A27" s="64"/>
      <c r="B27" s="64"/>
      <c r="C27" s="64"/>
      <c r="D27" s="64"/>
      <c r="E27" s="64"/>
      <c r="F27" s="64"/>
      <c r="G27" s="65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</row>
    <row r="28">
      <c r="A28" s="64"/>
      <c r="B28" s="64"/>
      <c r="C28" s="64"/>
      <c r="D28" s="64"/>
      <c r="E28" s="64"/>
      <c r="F28" s="64"/>
      <c r="G28" s="65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</row>
    <row r="29">
      <c r="A29" s="64"/>
      <c r="B29" s="64"/>
      <c r="C29" s="64"/>
      <c r="D29" s="64"/>
      <c r="E29" s="64"/>
      <c r="F29" s="64"/>
      <c r="G29" s="65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</row>
    <row r="30">
      <c r="A30" s="64"/>
      <c r="B30" s="64"/>
      <c r="C30" s="64"/>
      <c r="D30" s="64"/>
      <c r="E30" s="64"/>
      <c r="F30" s="64"/>
      <c r="G30" s="65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>
      <c r="A31" s="64"/>
      <c r="B31" s="64"/>
      <c r="C31" s="64"/>
      <c r="D31" s="64"/>
      <c r="E31" s="64"/>
      <c r="F31" s="64"/>
      <c r="G31" s="65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>
      <c r="A32" s="64"/>
      <c r="B32" s="64"/>
      <c r="C32" s="64"/>
      <c r="D32" s="64"/>
      <c r="E32" s="64"/>
      <c r="F32" s="64"/>
      <c r="G32" s="65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>
      <c r="A33" s="64"/>
      <c r="B33" s="64"/>
      <c r="C33" s="64"/>
      <c r="D33" s="64"/>
      <c r="E33" s="64"/>
      <c r="F33" s="64"/>
      <c r="G33" s="65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>
      <c r="A34" s="64"/>
      <c r="B34" s="64"/>
      <c r="C34" s="64"/>
      <c r="D34" s="64"/>
      <c r="E34" s="64"/>
      <c r="F34" s="64"/>
      <c r="G34" s="65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>
      <c r="A35" s="64"/>
      <c r="B35" s="64"/>
      <c r="C35" s="64"/>
      <c r="D35" s="64"/>
      <c r="E35" s="64"/>
      <c r="F35" s="64"/>
      <c r="G35" s="65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>
      <c r="A36" s="64"/>
      <c r="B36" s="64"/>
      <c r="C36" s="64"/>
      <c r="D36" s="64"/>
      <c r="E36" s="64"/>
      <c r="F36" s="64"/>
      <c r="G36" s="65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>
      <c r="A37" s="64"/>
      <c r="B37" s="64"/>
      <c r="C37" s="64"/>
      <c r="D37" s="64"/>
      <c r="E37" s="64"/>
      <c r="F37" s="64"/>
      <c r="G37" s="65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>
      <c r="A38" s="64"/>
      <c r="B38" s="64"/>
      <c r="C38" s="64"/>
      <c r="D38" s="64"/>
      <c r="E38" s="64"/>
      <c r="F38" s="64"/>
      <c r="G38" s="65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>
      <c r="A39" s="64"/>
      <c r="B39" s="64"/>
      <c r="C39" s="64"/>
      <c r="D39" s="64"/>
      <c r="E39" s="64"/>
      <c r="F39" s="64"/>
      <c r="G39" s="65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>
      <c r="A40" s="64"/>
      <c r="B40" s="64"/>
      <c r="C40" s="64"/>
      <c r="D40" s="64"/>
      <c r="E40" s="64"/>
      <c r="F40" s="64"/>
      <c r="G40" s="65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</row>
    <row r="41">
      <c r="A41" s="64"/>
      <c r="B41" s="64"/>
      <c r="C41" s="64"/>
      <c r="D41" s="64"/>
      <c r="E41" s="64"/>
      <c r="F41" s="64"/>
      <c r="G41" s="65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</row>
    <row r="42">
      <c r="A42" s="64"/>
      <c r="B42" s="64"/>
      <c r="C42" s="64"/>
      <c r="D42" s="64"/>
      <c r="E42" s="64"/>
      <c r="F42" s="64"/>
      <c r="G42" s="65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</row>
    <row r="43">
      <c r="A43" s="64"/>
      <c r="B43" s="64"/>
      <c r="C43" s="64"/>
      <c r="D43" s="64"/>
      <c r="E43" s="64"/>
      <c r="F43" s="64"/>
      <c r="G43" s="65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</row>
    <row r="44">
      <c r="A44" s="64"/>
      <c r="B44" s="64"/>
      <c r="C44" s="64"/>
      <c r="D44" s="64"/>
      <c r="E44" s="64"/>
      <c r="F44" s="64"/>
      <c r="G44" s="65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</row>
    <row r="45">
      <c r="A45" s="64"/>
      <c r="B45" s="64"/>
      <c r="C45" s="64"/>
      <c r="D45" s="64"/>
      <c r="E45" s="64"/>
      <c r="F45" s="64"/>
      <c r="G45" s="65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</row>
    <row r="46">
      <c r="A46" s="64"/>
      <c r="B46" s="64"/>
      <c r="C46" s="64"/>
      <c r="D46" s="64"/>
      <c r="E46" s="64"/>
      <c r="F46" s="64"/>
      <c r="G46" s="65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</row>
    <row r="47">
      <c r="A47" s="64"/>
      <c r="B47" s="64"/>
      <c r="C47" s="64"/>
      <c r="D47" s="64"/>
      <c r="E47" s="64"/>
      <c r="F47" s="64"/>
      <c r="G47" s="65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>
      <c r="A48" s="64"/>
      <c r="B48" s="64"/>
      <c r="C48" s="64"/>
      <c r="D48" s="64"/>
      <c r="E48" s="64"/>
      <c r="F48" s="64"/>
      <c r="G48" s="65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>
      <c r="A49" s="64"/>
      <c r="B49" s="64"/>
      <c r="C49" s="64"/>
      <c r="D49" s="64"/>
      <c r="E49" s="64"/>
      <c r="F49" s="64"/>
      <c r="G49" s="65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>
      <c r="A50" s="64"/>
      <c r="B50" s="64"/>
      <c r="C50" s="64"/>
      <c r="D50" s="64"/>
      <c r="E50" s="64"/>
      <c r="F50" s="64"/>
      <c r="G50" s="65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>
      <c r="A51" s="64"/>
      <c r="B51" s="64"/>
      <c r="C51" s="64"/>
      <c r="D51" s="64"/>
      <c r="E51" s="64"/>
      <c r="F51" s="64"/>
      <c r="G51" s="65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>
      <c r="A52" s="64"/>
      <c r="B52" s="64"/>
      <c r="C52" s="64"/>
      <c r="D52" s="64"/>
      <c r="E52" s="64"/>
      <c r="F52" s="64"/>
      <c r="G52" s="65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</row>
    <row r="53">
      <c r="A53" s="64"/>
      <c r="B53" s="64"/>
      <c r="C53" s="64"/>
      <c r="D53" s="64"/>
      <c r="E53" s="64"/>
      <c r="F53" s="64"/>
      <c r="G53" s="65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</row>
    <row r="54">
      <c r="A54" s="64"/>
      <c r="B54" s="64"/>
      <c r="C54" s="64"/>
      <c r="D54" s="64"/>
      <c r="E54" s="64"/>
      <c r="F54" s="64"/>
      <c r="G54" s="65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>
      <c r="A55" s="64"/>
      <c r="B55" s="64"/>
      <c r="C55" s="64"/>
      <c r="D55" s="64"/>
      <c r="E55" s="64"/>
      <c r="F55" s="64"/>
      <c r="G55" s="65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>
      <c r="A56" s="64"/>
      <c r="B56" s="64"/>
      <c r="C56" s="64"/>
      <c r="D56" s="64"/>
      <c r="E56" s="64"/>
      <c r="F56" s="64"/>
      <c r="G56" s="65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>
      <c r="A57" s="64"/>
      <c r="B57" s="64"/>
      <c r="C57" s="64"/>
      <c r="D57" s="64"/>
      <c r="E57" s="64"/>
      <c r="F57" s="64"/>
      <c r="G57" s="65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>
      <c r="A58" s="64"/>
      <c r="B58" s="64"/>
      <c r="C58" s="64"/>
      <c r="D58" s="64"/>
      <c r="E58" s="64"/>
      <c r="F58" s="64"/>
      <c r="G58" s="65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>
      <c r="A59" s="64"/>
      <c r="B59" s="64"/>
      <c r="C59" s="64"/>
      <c r="D59" s="64"/>
      <c r="E59" s="64"/>
      <c r="F59" s="64"/>
      <c r="G59" s="65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</row>
    <row r="60">
      <c r="A60" s="64"/>
      <c r="B60" s="64"/>
      <c r="C60" s="64"/>
      <c r="D60" s="64"/>
      <c r="E60" s="64"/>
      <c r="F60" s="64"/>
      <c r="G60" s="65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</row>
    <row r="61">
      <c r="A61" s="64"/>
      <c r="B61" s="64"/>
      <c r="C61" s="64"/>
      <c r="D61" s="64"/>
      <c r="E61" s="64"/>
      <c r="F61" s="64"/>
      <c r="G61" s="65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>
      <c r="A62" s="64"/>
      <c r="B62" s="64"/>
      <c r="C62" s="64"/>
      <c r="D62" s="64"/>
      <c r="E62" s="64"/>
      <c r="F62" s="64"/>
      <c r="G62" s="65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</row>
    <row r="63">
      <c r="A63" s="64"/>
      <c r="B63" s="64"/>
      <c r="C63" s="64"/>
      <c r="D63" s="64"/>
      <c r="E63" s="64"/>
      <c r="F63" s="64"/>
      <c r="G63" s="65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>
      <c r="A64" s="64"/>
      <c r="B64" s="64"/>
      <c r="C64" s="64"/>
      <c r="D64" s="64"/>
      <c r="E64" s="64"/>
      <c r="F64" s="64"/>
      <c r="G64" s="65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</row>
    <row r="65">
      <c r="A65" s="64"/>
      <c r="B65" s="64"/>
      <c r="C65" s="64"/>
      <c r="D65" s="64"/>
      <c r="E65" s="64"/>
      <c r="F65" s="64"/>
      <c r="G65" s="65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</row>
    <row r="66">
      <c r="A66" s="64"/>
      <c r="B66" s="64"/>
      <c r="C66" s="64"/>
      <c r="D66" s="64"/>
      <c r="E66" s="64"/>
      <c r="F66" s="64"/>
      <c r="G66" s="65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>
      <c r="A67" s="64"/>
      <c r="B67" s="64"/>
      <c r="C67" s="64"/>
      <c r="D67" s="64"/>
      <c r="E67" s="64"/>
      <c r="F67" s="64"/>
      <c r="G67" s="65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>
      <c r="A68" s="64"/>
      <c r="B68" s="64"/>
      <c r="C68" s="64"/>
      <c r="D68" s="64"/>
      <c r="E68" s="64"/>
      <c r="F68" s="64"/>
      <c r="G68" s="65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>
      <c r="A69" s="64"/>
      <c r="B69" s="64"/>
      <c r="C69" s="64"/>
      <c r="D69" s="64"/>
      <c r="E69" s="64"/>
      <c r="F69" s="64"/>
      <c r="G69" s="65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>
      <c r="A70" s="64"/>
      <c r="B70" s="64"/>
      <c r="C70" s="64"/>
      <c r="D70" s="64"/>
      <c r="E70" s="64"/>
      <c r="F70" s="64"/>
      <c r="G70" s="65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</row>
    <row r="71">
      <c r="A71" s="64"/>
      <c r="B71" s="64"/>
      <c r="C71" s="64"/>
      <c r="D71" s="64"/>
      <c r="E71" s="64"/>
      <c r="F71" s="64"/>
      <c r="G71" s="65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>
      <c r="A72" s="64"/>
      <c r="B72" s="64"/>
      <c r="C72" s="64"/>
      <c r="D72" s="64"/>
      <c r="E72" s="64"/>
      <c r="F72" s="64"/>
      <c r="G72" s="65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</row>
    <row r="73">
      <c r="A73" s="64"/>
      <c r="B73" s="64"/>
      <c r="C73" s="64"/>
      <c r="D73" s="64"/>
      <c r="E73" s="64"/>
      <c r="F73" s="64"/>
      <c r="G73" s="65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</row>
    <row r="74">
      <c r="A74" s="64"/>
      <c r="B74" s="64"/>
      <c r="C74" s="64"/>
      <c r="D74" s="64"/>
      <c r="E74" s="64"/>
      <c r="F74" s="64"/>
      <c r="G74" s="65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</row>
    <row r="75">
      <c r="A75" s="64"/>
      <c r="B75" s="64"/>
      <c r="C75" s="64"/>
      <c r="D75" s="64"/>
      <c r="E75" s="64"/>
      <c r="F75" s="64"/>
      <c r="G75" s="65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</row>
    <row r="76">
      <c r="A76" s="64"/>
      <c r="B76" s="64"/>
      <c r="C76" s="64"/>
      <c r="D76" s="64"/>
      <c r="E76" s="64"/>
      <c r="F76" s="64"/>
      <c r="G76" s="65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>
      <c r="A77" s="64"/>
      <c r="B77" s="64"/>
      <c r="C77" s="64"/>
      <c r="D77" s="64"/>
      <c r="E77" s="64"/>
      <c r="F77" s="64"/>
      <c r="G77" s="65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>
      <c r="A78" s="64"/>
      <c r="B78" s="64"/>
      <c r="C78" s="64"/>
      <c r="D78" s="64"/>
      <c r="E78" s="64"/>
      <c r="F78" s="64"/>
      <c r="G78" s="65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>
      <c r="A79" s="64"/>
      <c r="B79" s="64"/>
      <c r="C79" s="64"/>
      <c r="D79" s="64"/>
      <c r="E79" s="64"/>
      <c r="F79" s="64"/>
      <c r="G79" s="65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>
      <c r="A80" s="64"/>
      <c r="B80" s="64"/>
      <c r="C80" s="64"/>
      <c r="D80" s="64"/>
      <c r="E80" s="64"/>
      <c r="F80" s="64"/>
      <c r="G80" s="65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</row>
    <row r="81">
      <c r="A81" s="64"/>
      <c r="B81" s="64"/>
      <c r="C81" s="64"/>
      <c r="D81" s="64"/>
      <c r="E81" s="64"/>
      <c r="F81" s="64"/>
      <c r="G81" s="65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</row>
    <row r="82">
      <c r="A82" s="64"/>
      <c r="B82" s="64"/>
      <c r="C82" s="64"/>
      <c r="D82" s="64"/>
      <c r="E82" s="64"/>
      <c r="F82" s="64"/>
      <c r="G82" s="65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</row>
    <row r="83">
      <c r="A83" s="64"/>
      <c r="B83" s="64"/>
      <c r="C83" s="64"/>
      <c r="D83" s="64"/>
      <c r="E83" s="64"/>
      <c r="F83" s="64"/>
      <c r="G83" s="65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</row>
    <row r="84">
      <c r="A84" s="64"/>
      <c r="B84" s="64"/>
      <c r="C84" s="64"/>
      <c r="D84" s="64"/>
      <c r="E84" s="64"/>
      <c r="F84" s="64"/>
      <c r="G84" s="65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</row>
    <row r="85">
      <c r="A85" s="64"/>
      <c r="B85" s="64"/>
      <c r="C85" s="64"/>
      <c r="D85" s="64"/>
      <c r="E85" s="64"/>
      <c r="F85" s="64"/>
      <c r="G85" s="65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</row>
    <row r="86">
      <c r="A86" s="64"/>
      <c r="B86" s="64"/>
      <c r="C86" s="64"/>
      <c r="D86" s="64"/>
      <c r="E86" s="64"/>
      <c r="F86" s="64"/>
      <c r="G86" s="65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</row>
    <row r="87">
      <c r="A87" s="64"/>
      <c r="B87" s="64"/>
      <c r="C87" s="64"/>
      <c r="D87" s="64"/>
      <c r="E87" s="64"/>
      <c r="F87" s="64"/>
      <c r="G87" s="65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</row>
    <row r="88">
      <c r="A88" s="64"/>
      <c r="B88" s="64"/>
      <c r="C88" s="64"/>
      <c r="D88" s="64"/>
      <c r="E88" s="64"/>
      <c r="F88" s="64"/>
      <c r="G88" s="65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</row>
    <row r="89">
      <c r="A89" s="64"/>
      <c r="B89" s="64"/>
      <c r="C89" s="64"/>
      <c r="D89" s="64"/>
      <c r="E89" s="64"/>
      <c r="F89" s="64"/>
      <c r="G89" s="65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</row>
    <row r="90">
      <c r="A90" s="64"/>
      <c r="B90" s="64"/>
      <c r="C90" s="64"/>
      <c r="D90" s="64"/>
      <c r="E90" s="64"/>
      <c r="F90" s="64"/>
      <c r="G90" s="65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</row>
    <row r="91">
      <c r="A91" s="64"/>
      <c r="B91" s="64"/>
      <c r="C91" s="64"/>
      <c r="D91" s="64"/>
      <c r="E91" s="64"/>
      <c r="F91" s="64"/>
      <c r="G91" s="65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</row>
    <row r="92">
      <c r="A92" s="64"/>
      <c r="B92" s="64"/>
      <c r="C92" s="64"/>
      <c r="D92" s="64"/>
      <c r="E92" s="64"/>
      <c r="F92" s="64"/>
      <c r="G92" s="65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>
      <c r="A93" s="64"/>
      <c r="B93" s="64"/>
      <c r="C93" s="64"/>
      <c r="D93" s="64"/>
      <c r="E93" s="64"/>
      <c r="F93" s="64"/>
      <c r="G93" s="65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>
      <c r="A94" s="64"/>
      <c r="B94" s="64"/>
      <c r="C94" s="64"/>
      <c r="D94" s="64"/>
      <c r="E94" s="64"/>
      <c r="F94" s="64"/>
      <c r="G94" s="65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</row>
    <row r="95">
      <c r="A95" s="64"/>
      <c r="B95" s="64"/>
      <c r="C95" s="64"/>
      <c r="D95" s="64"/>
      <c r="E95" s="64"/>
      <c r="F95" s="64"/>
      <c r="G95" s="65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</row>
    <row r="96">
      <c r="A96" s="64"/>
      <c r="B96" s="64"/>
      <c r="C96" s="64"/>
      <c r="D96" s="64"/>
      <c r="E96" s="64"/>
      <c r="F96" s="64"/>
      <c r="G96" s="65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</row>
    <row r="97">
      <c r="A97" s="64"/>
      <c r="B97" s="64"/>
      <c r="C97" s="64"/>
      <c r="D97" s="64"/>
      <c r="E97" s="64"/>
      <c r="F97" s="64"/>
      <c r="G97" s="65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</row>
    <row r="98">
      <c r="A98" s="64"/>
      <c r="B98" s="64"/>
      <c r="C98" s="64"/>
      <c r="D98" s="64"/>
      <c r="E98" s="64"/>
      <c r="F98" s="64"/>
      <c r="G98" s="65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>
      <c r="A99" s="64"/>
      <c r="B99" s="64"/>
      <c r="C99" s="64"/>
      <c r="D99" s="64"/>
      <c r="E99" s="64"/>
      <c r="F99" s="64"/>
      <c r="G99" s="65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>
      <c r="A100" s="64"/>
      <c r="B100" s="64"/>
      <c r="C100" s="64"/>
      <c r="D100" s="64"/>
      <c r="E100" s="64"/>
      <c r="F100" s="64"/>
      <c r="G100" s="65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</row>
    <row r="101">
      <c r="A101" s="64"/>
      <c r="B101" s="64"/>
      <c r="C101" s="64"/>
      <c r="D101" s="64"/>
      <c r="E101" s="64"/>
      <c r="F101" s="64"/>
      <c r="G101" s="65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</row>
    <row r="102">
      <c r="A102" s="64"/>
      <c r="B102" s="64"/>
      <c r="C102" s="64"/>
      <c r="D102" s="64"/>
      <c r="E102" s="64"/>
      <c r="F102" s="64"/>
      <c r="G102" s="65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</row>
    <row r="103">
      <c r="A103" s="64"/>
      <c r="B103" s="64"/>
      <c r="C103" s="64"/>
      <c r="D103" s="64"/>
      <c r="E103" s="64"/>
      <c r="F103" s="64"/>
      <c r="G103" s="65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</row>
    <row r="104">
      <c r="A104" s="64"/>
      <c r="B104" s="64"/>
      <c r="C104" s="64"/>
      <c r="D104" s="64"/>
      <c r="E104" s="64"/>
      <c r="F104" s="64"/>
      <c r="G104" s="65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</row>
    <row r="105">
      <c r="A105" s="64"/>
      <c r="B105" s="64"/>
      <c r="C105" s="64"/>
      <c r="D105" s="64"/>
      <c r="E105" s="64"/>
      <c r="F105" s="64"/>
      <c r="G105" s="65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</row>
    <row r="106">
      <c r="A106" s="64"/>
      <c r="B106" s="64"/>
      <c r="C106" s="64"/>
      <c r="D106" s="64"/>
      <c r="E106" s="64"/>
      <c r="F106" s="64"/>
      <c r="G106" s="65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</row>
    <row r="107">
      <c r="A107" s="64"/>
      <c r="B107" s="64"/>
      <c r="C107" s="64"/>
      <c r="D107" s="64"/>
      <c r="E107" s="64"/>
      <c r="F107" s="64"/>
      <c r="G107" s="65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</row>
    <row r="108">
      <c r="A108" s="64"/>
      <c r="B108" s="64"/>
      <c r="C108" s="64"/>
      <c r="D108" s="64"/>
      <c r="E108" s="64"/>
      <c r="F108" s="64"/>
      <c r="G108" s="65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>
      <c r="A109" s="64"/>
      <c r="B109" s="64"/>
      <c r="C109" s="64"/>
      <c r="D109" s="64"/>
      <c r="E109" s="64"/>
      <c r="F109" s="64"/>
      <c r="G109" s="65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</row>
    <row r="110">
      <c r="A110" s="64"/>
      <c r="B110" s="64"/>
      <c r="C110" s="64"/>
      <c r="D110" s="64"/>
      <c r="E110" s="64"/>
      <c r="F110" s="64"/>
      <c r="G110" s="65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</row>
    <row r="111">
      <c r="A111" s="64"/>
      <c r="B111" s="64"/>
      <c r="C111" s="64"/>
      <c r="D111" s="64"/>
      <c r="E111" s="64"/>
      <c r="F111" s="64"/>
      <c r="G111" s="65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</row>
    <row r="112">
      <c r="A112" s="64"/>
      <c r="B112" s="64"/>
      <c r="C112" s="64"/>
      <c r="D112" s="64"/>
      <c r="E112" s="64"/>
      <c r="F112" s="64"/>
      <c r="G112" s="65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</row>
    <row r="113">
      <c r="A113" s="64"/>
      <c r="B113" s="64"/>
      <c r="C113" s="64"/>
      <c r="D113" s="64"/>
      <c r="E113" s="64"/>
      <c r="F113" s="64"/>
      <c r="G113" s="65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</row>
    <row r="114">
      <c r="A114" s="64"/>
      <c r="B114" s="64"/>
      <c r="C114" s="64"/>
      <c r="D114" s="64"/>
      <c r="E114" s="64"/>
      <c r="F114" s="64"/>
      <c r="G114" s="65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</row>
    <row r="115">
      <c r="A115" s="64"/>
      <c r="B115" s="64"/>
      <c r="C115" s="64"/>
      <c r="D115" s="64"/>
      <c r="E115" s="64"/>
      <c r="F115" s="64"/>
      <c r="G115" s="65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</row>
    <row r="116">
      <c r="A116" s="64"/>
      <c r="B116" s="64"/>
      <c r="C116" s="64"/>
      <c r="D116" s="64"/>
      <c r="E116" s="64"/>
      <c r="F116" s="64"/>
      <c r="G116" s="65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</row>
    <row r="117">
      <c r="A117" s="64"/>
      <c r="B117" s="64"/>
      <c r="C117" s="64"/>
      <c r="D117" s="64"/>
      <c r="E117" s="64"/>
      <c r="F117" s="64"/>
      <c r="G117" s="65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</row>
    <row r="118">
      <c r="A118" s="64"/>
      <c r="B118" s="64"/>
      <c r="C118" s="64"/>
      <c r="D118" s="64"/>
      <c r="E118" s="64"/>
      <c r="F118" s="64"/>
      <c r="G118" s="65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</row>
    <row r="119">
      <c r="A119" s="64"/>
      <c r="B119" s="64"/>
      <c r="C119" s="64"/>
      <c r="D119" s="64"/>
      <c r="E119" s="64"/>
      <c r="F119" s="64"/>
      <c r="G119" s="65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</row>
    <row r="120">
      <c r="A120" s="64"/>
      <c r="B120" s="64"/>
      <c r="C120" s="64"/>
      <c r="D120" s="64"/>
      <c r="E120" s="64"/>
      <c r="F120" s="64"/>
      <c r="G120" s="65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</row>
    <row r="121">
      <c r="A121" s="64"/>
      <c r="B121" s="64"/>
      <c r="C121" s="64"/>
      <c r="D121" s="64"/>
      <c r="E121" s="64"/>
      <c r="F121" s="64"/>
      <c r="G121" s="65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</row>
    <row r="122">
      <c r="A122" s="64"/>
      <c r="B122" s="64"/>
      <c r="C122" s="64"/>
      <c r="D122" s="64"/>
      <c r="E122" s="64"/>
      <c r="F122" s="64"/>
      <c r="G122" s="65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</row>
    <row r="123">
      <c r="A123" s="64"/>
      <c r="B123" s="64"/>
      <c r="C123" s="64"/>
      <c r="D123" s="64"/>
      <c r="E123" s="64"/>
      <c r="F123" s="64"/>
      <c r="G123" s="65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</row>
    <row r="124">
      <c r="A124" s="64"/>
      <c r="B124" s="64"/>
      <c r="C124" s="64"/>
      <c r="D124" s="64"/>
      <c r="E124" s="64"/>
      <c r="F124" s="64"/>
      <c r="G124" s="65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</row>
    <row r="125">
      <c r="A125" s="64"/>
      <c r="B125" s="64"/>
      <c r="C125" s="64"/>
      <c r="D125" s="64"/>
      <c r="E125" s="64"/>
      <c r="F125" s="64"/>
      <c r="G125" s="65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>
      <c r="A126" s="64"/>
      <c r="B126" s="64"/>
      <c r="C126" s="64"/>
      <c r="D126" s="64"/>
      <c r="E126" s="64"/>
      <c r="F126" s="64"/>
      <c r="G126" s="65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>
      <c r="A127" s="64"/>
      <c r="B127" s="64"/>
      <c r="C127" s="64"/>
      <c r="D127" s="64"/>
      <c r="E127" s="64"/>
      <c r="F127" s="64"/>
      <c r="G127" s="65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</row>
    <row r="128">
      <c r="A128" s="64"/>
      <c r="B128" s="64"/>
      <c r="C128" s="64"/>
      <c r="D128" s="64"/>
      <c r="E128" s="64"/>
      <c r="F128" s="64"/>
      <c r="G128" s="65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</row>
    <row r="129">
      <c r="A129" s="64"/>
      <c r="B129" s="64"/>
      <c r="C129" s="64"/>
      <c r="D129" s="64"/>
      <c r="E129" s="64"/>
      <c r="F129" s="64"/>
      <c r="G129" s="65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</row>
    <row r="130">
      <c r="A130" s="64"/>
      <c r="B130" s="64"/>
      <c r="C130" s="64"/>
      <c r="D130" s="64"/>
      <c r="E130" s="64"/>
      <c r="F130" s="64"/>
      <c r="G130" s="65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</row>
    <row r="131">
      <c r="A131" s="64"/>
      <c r="B131" s="64"/>
      <c r="C131" s="64"/>
      <c r="D131" s="64"/>
      <c r="E131" s="64"/>
      <c r="F131" s="64"/>
      <c r="G131" s="65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</row>
    <row r="132">
      <c r="A132" s="64"/>
      <c r="B132" s="64"/>
      <c r="C132" s="64"/>
      <c r="D132" s="64"/>
      <c r="E132" s="64"/>
      <c r="F132" s="64"/>
      <c r="G132" s="65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</row>
    <row r="133">
      <c r="A133" s="64"/>
      <c r="B133" s="64"/>
      <c r="C133" s="64"/>
      <c r="D133" s="64"/>
      <c r="E133" s="64"/>
      <c r="F133" s="64"/>
      <c r="G133" s="65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</row>
    <row r="134">
      <c r="A134" s="64"/>
      <c r="B134" s="64"/>
      <c r="C134" s="64"/>
      <c r="D134" s="64"/>
      <c r="E134" s="64"/>
      <c r="F134" s="64"/>
      <c r="G134" s="65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</row>
    <row r="135">
      <c r="A135" s="64"/>
      <c r="B135" s="64"/>
      <c r="C135" s="64"/>
      <c r="D135" s="64"/>
      <c r="E135" s="64"/>
      <c r="F135" s="64"/>
      <c r="G135" s="65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</row>
    <row r="136">
      <c r="A136" s="64"/>
      <c r="B136" s="64"/>
      <c r="C136" s="64"/>
      <c r="D136" s="64"/>
      <c r="E136" s="64"/>
      <c r="F136" s="64"/>
      <c r="G136" s="65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</row>
    <row r="137">
      <c r="A137" s="64"/>
      <c r="B137" s="64"/>
      <c r="C137" s="64"/>
      <c r="D137" s="64"/>
      <c r="E137" s="64"/>
      <c r="F137" s="64"/>
      <c r="G137" s="65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</row>
    <row r="138">
      <c r="A138" s="64"/>
      <c r="B138" s="64"/>
      <c r="C138" s="64"/>
      <c r="D138" s="64"/>
      <c r="E138" s="64"/>
      <c r="F138" s="64"/>
      <c r="G138" s="65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</row>
    <row r="139">
      <c r="A139" s="64"/>
      <c r="B139" s="64"/>
      <c r="C139" s="64"/>
      <c r="D139" s="64"/>
      <c r="E139" s="64"/>
      <c r="F139" s="64"/>
      <c r="G139" s="65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</row>
    <row r="140">
      <c r="A140" s="64"/>
      <c r="B140" s="64"/>
      <c r="C140" s="64"/>
      <c r="D140" s="64"/>
      <c r="E140" s="64"/>
      <c r="F140" s="64"/>
      <c r="G140" s="65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</row>
    <row r="141">
      <c r="A141" s="64"/>
      <c r="B141" s="64"/>
      <c r="C141" s="64"/>
      <c r="D141" s="64"/>
      <c r="E141" s="64"/>
      <c r="F141" s="64"/>
      <c r="G141" s="65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</row>
    <row r="142">
      <c r="A142" s="64"/>
      <c r="B142" s="64"/>
      <c r="C142" s="64"/>
      <c r="D142" s="64"/>
      <c r="E142" s="64"/>
      <c r="F142" s="64"/>
      <c r="G142" s="65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</row>
    <row r="143">
      <c r="A143" s="64"/>
      <c r="B143" s="64"/>
      <c r="C143" s="64"/>
      <c r="D143" s="64"/>
      <c r="E143" s="64"/>
      <c r="F143" s="64"/>
      <c r="G143" s="65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</row>
    <row r="144">
      <c r="A144" s="64"/>
      <c r="B144" s="64"/>
      <c r="C144" s="64"/>
      <c r="D144" s="64"/>
      <c r="E144" s="64"/>
      <c r="F144" s="64"/>
      <c r="G144" s="65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</row>
    <row r="145">
      <c r="A145" s="64"/>
      <c r="B145" s="64"/>
      <c r="C145" s="64"/>
      <c r="D145" s="64"/>
      <c r="E145" s="64"/>
      <c r="F145" s="64"/>
      <c r="G145" s="65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</row>
    <row r="146">
      <c r="A146" s="64"/>
      <c r="B146" s="64"/>
      <c r="C146" s="64"/>
      <c r="D146" s="64"/>
      <c r="E146" s="64"/>
      <c r="F146" s="64"/>
      <c r="G146" s="65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</row>
    <row r="147">
      <c r="A147" s="64"/>
      <c r="B147" s="64"/>
      <c r="C147" s="64"/>
      <c r="D147" s="64"/>
      <c r="E147" s="64"/>
      <c r="F147" s="64"/>
      <c r="G147" s="65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</row>
    <row r="148">
      <c r="A148" s="64"/>
      <c r="B148" s="64"/>
      <c r="C148" s="64"/>
      <c r="D148" s="64"/>
      <c r="E148" s="64"/>
      <c r="F148" s="64"/>
      <c r="G148" s="65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</row>
    <row r="149">
      <c r="A149" s="64"/>
      <c r="B149" s="64"/>
      <c r="C149" s="64"/>
      <c r="D149" s="64"/>
      <c r="E149" s="64"/>
      <c r="F149" s="64"/>
      <c r="G149" s="65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</row>
    <row r="150">
      <c r="A150" s="64"/>
      <c r="B150" s="64"/>
      <c r="C150" s="64"/>
      <c r="D150" s="64"/>
      <c r="E150" s="64"/>
      <c r="F150" s="64"/>
      <c r="G150" s="65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</row>
    <row r="151">
      <c r="A151" s="64"/>
      <c r="B151" s="64"/>
      <c r="C151" s="64"/>
      <c r="D151" s="64"/>
      <c r="E151" s="64"/>
      <c r="F151" s="64"/>
      <c r="G151" s="65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</row>
    <row r="152">
      <c r="A152" s="64"/>
      <c r="B152" s="64"/>
      <c r="C152" s="64"/>
      <c r="D152" s="64"/>
      <c r="E152" s="64"/>
      <c r="F152" s="64"/>
      <c r="G152" s="65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</row>
    <row r="153">
      <c r="A153" s="64"/>
      <c r="B153" s="64"/>
      <c r="C153" s="64"/>
      <c r="D153" s="64"/>
      <c r="E153" s="64"/>
      <c r="F153" s="64"/>
      <c r="G153" s="65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</row>
    <row r="154">
      <c r="A154" s="64"/>
      <c r="B154" s="64"/>
      <c r="C154" s="64"/>
      <c r="D154" s="64"/>
      <c r="E154" s="64"/>
      <c r="F154" s="64"/>
      <c r="G154" s="65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</row>
    <row r="155">
      <c r="A155" s="64"/>
      <c r="B155" s="64"/>
      <c r="C155" s="64"/>
      <c r="D155" s="64"/>
      <c r="E155" s="64"/>
      <c r="F155" s="64"/>
      <c r="G155" s="65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</row>
    <row r="156">
      <c r="A156" s="64"/>
      <c r="B156" s="64"/>
      <c r="C156" s="64"/>
      <c r="D156" s="64"/>
      <c r="E156" s="64"/>
      <c r="F156" s="64"/>
      <c r="G156" s="65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</row>
    <row r="157">
      <c r="A157" s="64"/>
      <c r="B157" s="64"/>
      <c r="C157" s="64"/>
      <c r="D157" s="64"/>
      <c r="E157" s="64"/>
      <c r="F157" s="64"/>
      <c r="G157" s="65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</row>
    <row r="158">
      <c r="A158" s="64"/>
      <c r="B158" s="64"/>
      <c r="C158" s="64"/>
      <c r="D158" s="64"/>
      <c r="E158" s="64"/>
      <c r="F158" s="64"/>
      <c r="G158" s="65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</row>
    <row r="159">
      <c r="A159" s="64"/>
      <c r="B159" s="64"/>
      <c r="C159" s="64"/>
      <c r="D159" s="64"/>
      <c r="E159" s="64"/>
      <c r="F159" s="64"/>
      <c r="G159" s="65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</row>
    <row r="160">
      <c r="A160" s="64"/>
      <c r="B160" s="64"/>
      <c r="C160" s="64"/>
      <c r="D160" s="64"/>
      <c r="E160" s="64"/>
      <c r="F160" s="64"/>
      <c r="G160" s="65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</row>
    <row r="161">
      <c r="A161" s="64"/>
      <c r="B161" s="64"/>
      <c r="C161" s="64"/>
      <c r="D161" s="64"/>
      <c r="E161" s="64"/>
      <c r="F161" s="64"/>
      <c r="G161" s="65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</row>
    <row r="162">
      <c r="A162" s="64"/>
      <c r="B162" s="64"/>
      <c r="C162" s="64"/>
      <c r="D162" s="64"/>
      <c r="E162" s="64"/>
      <c r="F162" s="64"/>
      <c r="G162" s="65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</row>
    <row r="163">
      <c r="A163" s="64"/>
      <c r="B163" s="64"/>
      <c r="C163" s="64"/>
      <c r="D163" s="64"/>
      <c r="E163" s="64"/>
      <c r="F163" s="64"/>
      <c r="G163" s="65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</row>
    <row r="164">
      <c r="A164" s="64"/>
      <c r="B164" s="64"/>
      <c r="C164" s="64"/>
      <c r="D164" s="64"/>
      <c r="E164" s="64"/>
      <c r="F164" s="64"/>
      <c r="G164" s="65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</row>
    <row r="165">
      <c r="A165" s="64"/>
      <c r="B165" s="64"/>
      <c r="C165" s="64"/>
      <c r="D165" s="64"/>
      <c r="E165" s="64"/>
      <c r="F165" s="64"/>
      <c r="G165" s="65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</row>
    <row r="166">
      <c r="A166" s="64"/>
      <c r="B166" s="64"/>
      <c r="C166" s="64"/>
      <c r="D166" s="64"/>
      <c r="E166" s="64"/>
      <c r="F166" s="64"/>
      <c r="G166" s="65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</row>
    <row r="167">
      <c r="A167" s="64"/>
      <c r="B167" s="64"/>
      <c r="C167" s="64"/>
      <c r="D167" s="64"/>
      <c r="E167" s="64"/>
      <c r="F167" s="64"/>
      <c r="G167" s="65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</row>
    <row r="168">
      <c r="A168" s="64"/>
      <c r="B168" s="64"/>
      <c r="C168" s="64"/>
      <c r="D168" s="64"/>
      <c r="E168" s="64"/>
      <c r="F168" s="64"/>
      <c r="G168" s="65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</row>
    <row r="169">
      <c r="A169" s="64"/>
      <c r="B169" s="64"/>
      <c r="C169" s="64"/>
      <c r="D169" s="64"/>
      <c r="E169" s="64"/>
      <c r="F169" s="64"/>
      <c r="G169" s="65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</row>
    <row r="170">
      <c r="A170" s="64"/>
      <c r="B170" s="64"/>
      <c r="C170" s="64"/>
      <c r="D170" s="64"/>
      <c r="E170" s="64"/>
      <c r="F170" s="64"/>
      <c r="G170" s="65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</row>
    <row r="171">
      <c r="A171" s="64"/>
      <c r="B171" s="64"/>
      <c r="C171" s="64"/>
      <c r="D171" s="64"/>
      <c r="E171" s="64"/>
      <c r="F171" s="64"/>
      <c r="G171" s="65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</row>
    <row r="172">
      <c r="A172" s="64"/>
      <c r="B172" s="64"/>
      <c r="C172" s="64"/>
      <c r="D172" s="64"/>
      <c r="E172" s="64"/>
      <c r="F172" s="64"/>
      <c r="G172" s="65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</row>
    <row r="173">
      <c r="A173" s="64"/>
      <c r="B173" s="64"/>
      <c r="C173" s="64"/>
      <c r="D173" s="64"/>
      <c r="E173" s="64"/>
      <c r="F173" s="64"/>
      <c r="G173" s="65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</row>
    <row r="174">
      <c r="A174" s="64"/>
      <c r="B174" s="64"/>
      <c r="C174" s="64"/>
      <c r="D174" s="64"/>
      <c r="E174" s="64"/>
      <c r="F174" s="64"/>
      <c r="G174" s="65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</row>
    <row r="175">
      <c r="A175" s="64"/>
      <c r="B175" s="64"/>
      <c r="C175" s="64"/>
      <c r="D175" s="64"/>
      <c r="E175" s="64"/>
      <c r="F175" s="64"/>
      <c r="G175" s="65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</row>
    <row r="176">
      <c r="A176" s="64"/>
      <c r="B176" s="64"/>
      <c r="C176" s="64"/>
      <c r="D176" s="64"/>
      <c r="E176" s="64"/>
      <c r="F176" s="64"/>
      <c r="G176" s="65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</row>
    <row r="177">
      <c r="A177" s="64"/>
      <c r="B177" s="64"/>
      <c r="C177" s="64"/>
      <c r="D177" s="64"/>
      <c r="E177" s="64"/>
      <c r="F177" s="64"/>
      <c r="G177" s="65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</row>
    <row r="178">
      <c r="A178" s="64"/>
      <c r="B178" s="64"/>
      <c r="C178" s="64"/>
      <c r="D178" s="64"/>
      <c r="E178" s="64"/>
      <c r="F178" s="64"/>
      <c r="G178" s="65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</row>
    <row r="179">
      <c r="A179" s="64"/>
      <c r="B179" s="64"/>
      <c r="C179" s="64"/>
      <c r="D179" s="64"/>
      <c r="E179" s="64"/>
      <c r="F179" s="64"/>
      <c r="G179" s="65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</row>
    <row r="180">
      <c r="A180" s="64"/>
      <c r="B180" s="64"/>
      <c r="C180" s="64"/>
      <c r="D180" s="64"/>
      <c r="E180" s="64"/>
      <c r="F180" s="64"/>
      <c r="G180" s="65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</row>
    <row r="181">
      <c r="A181" s="64"/>
      <c r="B181" s="64"/>
      <c r="C181" s="64"/>
      <c r="D181" s="64"/>
      <c r="E181" s="64"/>
      <c r="F181" s="64"/>
      <c r="G181" s="65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</row>
    <row r="182">
      <c r="A182" s="64"/>
      <c r="B182" s="64"/>
      <c r="C182" s="64"/>
      <c r="D182" s="64"/>
      <c r="E182" s="64"/>
      <c r="F182" s="64"/>
      <c r="G182" s="65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</row>
    <row r="183">
      <c r="A183" s="64"/>
      <c r="B183" s="64"/>
      <c r="C183" s="64"/>
      <c r="D183" s="64"/>
      <c r="E183" s="64"/>
      <c r="F183" s="64"/>
      <c r="G183" s="65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</row>
    <row r="184">
      <c r="A184" s="64"/>
      <c r="B184" s="64"/>
      <c r="C184" s="64"/>
      <c r="D184" s="64"/>
      <c r="E184" s="64"/>
      <c r="F184" s="64"/>
      <c r="G184" s="65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</row>
    <row r="185">
      <c r="A185" s="64"/>
      <c r="B185" s="64"/>
      <c r="C185" s="64"/>
      <c r="D185" s="64"/>
      <c r="E185" s="64"/>
      <c r="F185" s="64"/>
      <c r="G185" s="65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</row>
    <row r="186">
      <c r="A186" s="64"/>
      <c r="B186" s="64"/>
      <c r="C186" s="64"/>
      <c r="D186" s="64"/>
      <c r="E186" s="64"/>
      <c r="F186" s="64"/>
      <c r="G186" s="65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</row>
    <row r="187">
      <c r="A187" s="64"/>
      <c r="B187" s="64"/>
      <c r="C187" s="64"/>
      <c r="D187" s="64"/>
      <c r="E187" s="64"/>
      <c r="F187" s="64"/>
      <c r="G187" s="65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</row>
    <row r="188">
      <c r="A188" s="64"/>
      <c r="B188" s="64"/>
      <c r="C188" s="64"/>
      <c r="D188" s="64"/>
      <c r="E188" s="64"/>
      <c r="F188" s="64"/>
      <c r="G188" s="65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</row>
    <row r="189">
      <c r="A189" s="64"/>
      <c r="B189" s="64"/>
      <c r="C189" s="64"/>
      <c r="D189" s="64"/>
      <c r="E189" s="64"/>
      <c r="F189" s="64"/>
      <c r="G189" s="65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</row>
    <row r="190">
      <c r="A190" s="64"/>
      <c r="B190" s="64"/>
      <c r="C190" s="64"/>
      <c r="D190" s="64"/>
      <c r="E190" s="64"/>
      <c r="F190" s="64"/>
      <c r="G190" s="65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</row>
    <row r="191">
      <c r="A191" s="64"/>
      <c r="B191" s="64"/>
      <c r="C191" s="64"/>
      <c r="D191" s="64"/>
      <c r="E191" s="64"/>
      <c r="F191" s="64"/>
      <c r="G191" s="65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</row>
    <row r="192">
      <c r="A192" s="64"/>
      <c r="B192" s="64"/>
      <c r="C192" s="64"/>
      <c r="D192" s="64"/>
      <c r="E192" s="64"/>
      <c r="F192" s="64"/>
      <c r="G192" s="65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</row>
    <row r="193">
      <c r="A193" s="64"/>
      <c r="B193" s="64"/>
      <c r="C193" s="64"/>
      <c r="D193" s="64"/>
      <c r="E193" s="64"/>
      <c r="F193" s="64"/>
      <c r="G193" s="65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</row>
    <row r="194">
      <c r="A194" s="64"/>
      <c r="B194" s="64"/>
      <c r="C194" s="64"/>
      <c r="D194" s="64"/>
      <c r="E194" s="64"/>
      <c r="F194" s="64"/>
      <c r="G194" s="65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</row>
    <row r="195">
      <c r="A195" s="64"/>
      <c r="B195" s="64"/>
      <c r="C195" s="64"/>
      <c r="D195" s="64"/>
      <c r="E195" s="64"/>
      <c r="F195" s="64"/>
      <c r="G195" s="65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</row>
    <row r="196">
      <c r="A196" s="64"/>
      <c r="B196" s="64"/>
      <c r="C196" s="64"/>
      <c r="D196" s="64"/>
      <c r="E196" s="64"/>
      <c r="F196" s="64"/>
      <c r="G196" s="65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</row>
    <row r="197">
      <c r="A197" s="64"/>
      <c r="B197" s="64"/>
      <c r="C197" s="64"/>
      <c r="D197" s="64"/>
      <c r="E197" s="64"/>
      <c r="F197" s="64"/>
      <c r="G197" s="65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</row>
    <row r="198">
      <c r="A198" s="64"/>
      <c r="B198" s="64"/>
      <c r="C198" s="64"/>
      <c r="D198" s="64"/>
      <c r="E198" s="64"/>
      <c r="F198" s="64"/>
      <c r="G198" s="65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</row>
    <row r="199">
      <c r="A199" s="64"/>
      <c r="B199" s="64"/>
      <c r="C199" s="64"/>
      <c r="D199" s="64"/>
      <c r="E199" s="64"/>
      <c r="F199" s="64"/>
      <c r="G199" s="65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</row>
    <row r="200">
      <c r="A200" s="64"/>
      <c r="B200" s="64"/>
      <c r="C200" s="64"/>
      <c r="D200" s="64"/>
      <c r="E200" s="64"/>
      <c r="F200" s="64"/>
      <c r="G200" s="65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</row>
    <row r="201">
      <c r="A201" s="64"/>
      <c r="B201" s="64"/>
      <c r="C201" s="64"/>
      <c r="D201" s="64"/>
      <c r="E201" s="64"/>
      <c r="F201" s="64"/>
      <c r="G201" s="65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</row>
    <row r="202">
      <c r="A202" s="64"/>
      <c r="B202" s="64"/>
      <c r="C202" s="64"/>
      <c r="D202" s="64"/>
      <c r="E202" s="64"/>
      <c r="F202" s="64"/>
      <c r="G202" s="65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</row>
    <row r="203">
      <c r="A203" s="64"/>
      <c r="B203" s="64"/>
      <c r="C203" s="64"/>
      <c r="D203" s="64"/>
      <c r="E203" s="64"/>
      <c r="F203" s="64"/>
      <c r="G203" s="65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</row>
    <row r="204">
      <c r="A204" s="64"/>
      <c r="B204" s="64"/>
      <c r="C204" s="64"/>
      <c r="D204" s="64"/>
      <c r="E204" s="64"/>
      <c r="F204" s="64"/>
      <c r="G204" s="65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</row>
    <row r="205">
      <c r="A205" s="64"/>
      <c r="B205" s="64"/>
      <c r="C205" s="64"/>
      <c r="D205" s="64"/>
      <c r="E205" s="64"/>
      <c r="F205" s="64"/>
      <c r="G205" s="65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</row>
    <row r="206">
      <c r="A206" s="64"/>
      <c r="B206" s="64"/>
      <c r="C206" s="64"/>
      <c r="D206" s="64"/>
      <c r="E206" s="64"/>
      <c r="F206" s="64"/>
      <c r="G206" s="65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</row>
    <row r="207">
      <c r="A207" s="64"/>
      <c r="B207" s="64"/>
      <c r="C207" s="64"/>
      <c r="D207" s="64"/>
      <c r="E207" s="64"/>
      <c r="F207" s="64"/>
      <c r="G207" s="65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</row>
    <row r="208">
      <c r="A208" s="64"/>
      <c r="B208" s="64"/>
      <c r="C208" s="64"/>
      <c r="D208" s="64"/>
      <c r="E208" s="64"/>
      <c r="F208" s="64"/>
      <c r="G208" s="65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</row>
    <row r="209">
      <c r="A209" s="64"/>
      <c r="B209" s="64"/>
      <c r="C209" s="64"/>
      <c r="D209" s="64"/>
      <c r="E209" s="64"/>
      <c r="F209" s="64"/>
      <c r="G209" s="65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</row>
    <row r="210">
      <c r="A210" s="64"/>
      <c r="B210" s="64"/>
      <c r="C210" s="64"/>
      <c r="D210" s="64"/>
      <c r="E210" s="64"/>
      <c r="F210" s="64"/>
      <c r="G210" s="65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</row>
    <row r="211">
      <c r="A211" s="64"/>
      <c r="B211" s="64"/>
      <c r="C211" s="64"/>
      <c r="D211" s="64"/>
      <c r="E211" s="64"/>
      <c r="F211" s="64"/>
      <c r="G211" s="65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</row>
    <row r="212">
      <c r="A212" s="64"/>
      <c r="B212" s="64"/>
      <c r="C212" s="64"/>
      <c r="D212" s="64"/>
      <c r="E212" s="64"/>
      <c r="F212" s="64"/>
      <c r="G212" s="65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</row>
    <row r="213">
      <c r="A213" s="64"/>
      <c r="B213" s="64"/>
      <c r="C213" s="64"/>
      <c r="D213" s="64"/>
      <c r="E213" s="64"/>
      <c r="F213" s="64"/>
      <c r="G213" s="65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</row>
    <row r="214">
      <c r="A214" s="64"/>
      <c r="B214" s="64"/>
      <c r="C214" s="64"/>
      <c r="D214" s="64"/>
      <c r="E214" s="64"/>
      <c r="F214" s="64"/>
      <c r="G214" s="65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</row>
    <row r="215">
      <c r="A215" s="64"/>
      <c r="B215" s="64"/>
      <c r="C215" s="64"/>
      <c r="D215" s="64"/>
      <c r="E215" s="64"/>
      <c r="F215" s="64"/>
      <c r="G215" s="65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</row>
    <row r="216">
      <c r="A216" s="64"/>
      <c r="B216" s="64"/>
      <c r="C216" s="64"/>
      <c r="D216" s="64"/>
      <c r="E216" s="64"/>
      <c r="F216" s="64"/>
      <c r="G216" s="65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</row>
    <row r="217">
      <c r="A217" s="64"/>
      <c r="B217" s="64"/>
      <c r="C217" s="64"/>
      <c r="D217" s="64"/>
      <c r="E217" s="64"/>
      <c r="F217" s="64"/>
      <c r="G217" s="65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</row>
    <row r="218">
      <c r="A218" s="64"/>
      <c r="B218" s="64"/>
      <c r="C218" s="64"/>
      <c r="D218" s="64"/>
      <c r="E218" s="64"/>
      <c r="F218" s="64"/>
      <c r="G218" s="65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</row>
    <row r="219">
      <c r="A219" s="64"/>
      <c r="B219" s="64"/>
      <c r="C219" s="64"/>
      <c r="D219" s="64"/>
      <c r="E219" s="64"/>
      <c r="F219" s="64"/>
      <c r="G219" s="65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</row>
    <row r="220">
      <c r="A220" s="64"/>
      <c r="B220" s="64"/>
      <c r="C220" s="64"/>
      <c r="D220" s="64"/>
      <c r="E220" s="64"/>
      <c r="F220" s="64"/>
      <c r="G220" s="65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</row>
    <row r="221">
      <c r="A221" s="64"/>
      <c r="B221" s="64"/>
      <c r="C221" s="64"/>
      <c r="D221" s="64"/>
      <c r="E221" s="64"/>
      <c r="F221" s="64"/>
      <c r="G221" s="65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</row>
    <row r="222">
      <c r="A222" s="64"/>
      <c r="B222" s="64"/>
      <c r="C222" s="64"/>
      <c r="D222" s="64"/>
      <c r="E222" s="64"/>
      <c r="F222" s="64"/>
      <c r="G222" s="65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</row>
    <row r="223">
      <c r="A223" s="64"/>
      <c r="B223" s="64"/>
      <c r="C223" s="64"/>
      <c r="D223" s="64"/>
      <c r="E223" s="64"/>
      <c r="F223" s="64"/>
      <c r="G223" s="65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</row>
    <row r="224">
      <c r="A224" s="64"/>
      <c r="B224" s="64"/>
      <c r="C224" s="64"/>
      <c r="D224" s="64"/>
      <c r="E224" s="64"/>
      <c r="F224" s="64"/>
      <c r="G224" s="65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</row>
    <row r="225">
      <c r="A225" s="64"/>
      <c r="B225" s="64"/>
      <c r="C225" s="64"/>
      <c r="D225" s="64"/>
      <c r="E225" s="64"/>
      <c r="F225" s="64"/>
      <c r="G225" s="65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</row>
    <row r="226">
      <c r="A226" s="64"/>
      <c r="B226" s="64"/>
      <c r="C226" s="64"/>
      <c r="D226" s="64"/>
      <c r="E226" s="64"/>
      <c r="F226" s="64"/>
      <c r="G226" s="65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</row>
    <row r="227">
      <c r="A227" s="64"/>
      <c r="B227" s="64"/>
      <c r="C227" s="64"/>
      <c r="D227" s="64"/>
      <c r="E227" s="64"/>
      <c r="F227" s="64"/>
      <c r="G227" s="65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</row>
    <row r="228">
      <c r="A228" s="64"/>
      <c r="B228" s="64"/>
      <c r="C228" s="64"/>
      <c r="D228" s="64"/>
      <c r="E228" s="64"/>
      <c r="F228" s="64"/>
      <c r="G228" s="65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</row>
    <row r="229">
      <c r="A229" s="64"/>
      <c r="B229" s="64"/>
      <c r="C229" s="64"/>
      <c r="D229" s="64"/>
      <c r="E229" s="64"/>
      <c r="F229" s="64"/>
      <c r="G229" s="65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</row>
    <row r="230">
      <c r="A230" s="64"/>
      <c r="B230" s="64"/>
      <c r="C230" s="64"/>
      <c r="D230" s="64"/>
      <c r="E230" s="64"/>
      <c r="F230" s="64"/>
      <c r="G230" s="65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</row>
    <row r="231">
      <c r="A231" s="64"/>
      <c r="B231" s="64"/>
      <c r="C231" s="64"/>
      <c r="D231" s="64"/>
      <c r="E231" s="64"/>
      <c r="F231" s="64"/>
      <c r="G231" s="65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</row>
    <row r="232">
      <c r="A232" s="64"/>
      <c r="B232" s="64"/>
      <c r="C232" s="64"/>
      <c r="D232" s="64"/>
      <c r="E232" s="64"/>
      <c r="F232" s="64"/>
      <c r="G232" s="65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</row>
    <row r="233">
      <c r="A233" s="64"/>
      <c r="B233" s="64"/>
      <c r="C233" s="64"/>
      <c r="D233" s="64"/>
      <c r="E233" s="64"/>
      <c r="F233" s="64"/>
      <c r="G233" s="65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</row>
    <row r="234">
      <c r="A234" s="64"/>
      <c r="B234" s="64"/>
      <c r="C234" s="64"/>
      <c r="D234" s="64"/>
      <c r="E234" s="64"/>
      <c r="F234" s="64"/>
      <c r="G234" s="65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</row>
    <row r="235">
      <c r="A235" s="64"/>
      <c r="B235" s="64"/>
      <c r="C235" s="64"/>
      <c r="D235" s="64"/>
      <c r="E235" s="64"/>
      <c r="F235" s="64"/>
      <c r="G235" s="65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</row>
    <row r="236">
      <c r="A236" s="64"/>
      <c r="B236" s="64"/>
      <c r="C236" s="64"/>
      <c r="D236" s="64"/>
      <c r="E236" s="64"/>
      <c r="F236" s="64"/>
      <c r="G236" s="65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</row>
    <row r="237">
      <c r="A237" s="64"/>
      <c r="B237" s="64"/>
      <c r="C237" s="64"/>
      <c r="D237" s="64"/>
      <c r="E237" s="64"/>
      <c r="F237" s="64"/>
      <c r="G237" s="65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</row>
    <row r="238">
      <c r="A238" s="64"/>
      <c r="B238" s="64"/>
      <c r="C238" s="64"/>
      <c r="D238" s="64"/>
      <c r="E238" s="64"/>
      <c r="F238" s="64"/>
      <c r="G238" s="65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</row>
    <row r="239">
      <c r="A239" s="64"/>
      <c r="B239" s="64"/>
      <c r="C239" s="64"/>
      <c r="D239" s="64"/>
      <c r="E239" s="64"/>
      <c r="F239" s="64"/>
      <c r="G239" s="65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</row>
    <row r="240">
      <c r="A240" s="64"/>
      <c r="B240" s="64"/>
      <c r="C240" s="64"/>
      <c r="D240" s="64"/>
      <c r="E240" s="64"/>
      <c r="F240" s="64"/>
      <c r="G240" s="65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</row>
    <row r="241">
      <c r="A241" s="64"/>
      <c r="B241" s="64"/>
      <c r="C241" s="64"/>
      <c r="D241" s="64"/>
      <c r="E241" s="64"/>
      <c r="F241" s="64"/>
      <c r="G241" s="65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</row>
    <row r="242">
      <c r="A242" s="64"/>
      <c r="B242" s="64"/>
      <c r="C242" s="64"/>
      <c r="D242" s="64"/>
      <c r="E242" s="64"/>
      <c r="F242" s="64"/>
      <c r="G242" s="65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</row>
    <row r="243">
      <c r="A243" s="64"/>
      <c r="B243" s="64"/>
      <c r="C243" s="64"/>
      <c r="D243" s="64"/>
      <c r="E243" s="64"/>
      <c r="F243" s="64"/>
      <c r="G243" s="65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</row>
    <row r="244">
      <c r="A244" s="64"/>
      <c r="B244" s="64"/>
      <c r="C244" s="64"/>
      <c r="D244" s="64"/>
      <c r="E244" s="64"/>
      <c r="F244" s="64"/>
      <c r="G244" s="65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</row>
    <row r="245">
      <c r="A245" s="64"/>
      <c r="B245" s="64"/>
      <c r="C245" s="64"/>
      <c r="D245" s="64"/>
      <c r="E245" s="64"/>
      <c r="F245" s="64"/>
      <c r="G245" s="65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</row>
    <row r="246">
      <c r="A246" s="64"/>
      <c r="B246" s="64"/>
      <c r="C246" s="64"/>
      <c r="D246" s="64"/>
      <c r="E246" s="64"/>
      <c r="F246" s="64"/>
      <c r="G246" s="65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</row>
    <row r="247">
      <c r="A247" s="64"/>
      <c r="B247" s="64"/>
      <c r="C247" s="64"/>
      <c r="D247" s="64"/>
      <c r="E247" s="64"/>
      <c r="F247" s="64"/>
      <c r="G247" s="65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</row>
    <row r="248">
      <c r="A248" s="64"/>
      <c r="B248" s="64"/>
      <c r="C248" s="64"/>
      <c r="D248" s="64"/>
      <c r="E248" s="64"/>
      <c r="F248" s="64"/>
      <c r="G248" s="65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</row>
    <row r="249">
      <c r="A249" s="64"/>
      <c r="B249" s="64"/>
      <c r="C249" s="64"/>
      <c r="D249" s="64"/>
      <c r="E249" s="64"/>
      <c r="F249" s="64"/>
      <c r="G249" s="65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</row>
    <row r="250">
      <c r="A250" s="64"/>
      <c r="B250" s="64"/>
      <c r="C250" s="64"/>
      <c r="D250" s="64"/>
      <c r="E250" s="64"/>
      <c r="F250" s="64"/>
      <c r="G250" s="65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</row>
    <row r="251">
      <c r="A251" s="64"/>
      <c r="B251" s="64"/>
      <c r="C251" s="64"/>
      <c r="D251" s="64"/>
      <c r="E251" s="64"/>
      <c r="F251" s="64"/>
      <c r="G251" s="65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</row>
    <row r="252">
      <c r="A252" s="64"/>
      <c r="B252" s="64"/>
      <c r="C252" s="64"/>
      <c r="D252" s="64"/>
      <c r="E252" s="64"/>
      <c r="F252" s="64"/>
      <c r="G252" s="65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</row>
    <row r="253">
      <c r="A253" s="64"/>
      <c r="B253" s="64"/>
      <c r="C253" s="64"/>
      <c r="D253" s="64"/>
      <c r="E253" s="64"/>
      <c r="F253" s="64"/>
      <c r="G253" s="65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</row>
    <row r="254">
      <c r="A254" s="64"/>
      <c r="B254" s="64"/>
      <c r="C254" s="64"/>
      <c r="D254" s="64"/>
      <c r="E254" s="64"/>
      <c r="F254" s="64"/>
      <c r="G254" s="65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</row>
    <row r="255">
      <c r="A255" s="64"/>
      <c r="B255" s="64"/>
      <c r="C255" s="64"/>
      <c r="D255" s="64"/>
      <c r="E255" s="64"/>
      <c r="F255" s="64"/>
      <c r="G255" s="65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</row>
    <row r="256">
      <c r="A256" s="64"/>
      <c r="B256" s="64"/>
      <c r="C256" s="64"/>
      <c r="D256" s="64"/>
      <c r="E256" s="64"/>
      <c r="F256" s="64"/>
      <c r="G256" s="65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</row>
    <row r="257">
      <c r="A257" s="64"/>
      <c r="B257" s="64"/>
      <c r="C257" s="64"/>
      <c r="D257" s="64"/>
      <c r="E257" s="64"/>
      <c r="F257" s="64"/>
      <c r="G257" s="65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</row>
    <row r="258">
      <c r="A258" s="64"/>
      <c r="B258" s="64"/>
      <c r="C258" s="64"/>
      <c r="D258" s="64"/>
      <c r="E258" s="64"/>
      <c r="F258" s="64"/>
      <c r="G258" s="65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</row>
    <row r="259">
      <c r="A259" s="64"/>
      <c r="B259" s="64"/>
      <c r="C259" s="64"/>
      <c r="D259" s="64"/>
      <c r="E259" s="64"/>
      <c r="F259" s="64"/>
      <c r="G259" s="65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</row>
    <row r="260">
      <c r="A260" s="64"/>
      <c r="B260" s="64"/>
      <c r="C260" s="64"/>
      <c r="D260" s="64"/>
      <c r="E260" s="64"/>
      <c r="F260" s="64"/>
      <c r="G260" s="65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</row>
    <row r="261">
      <c r="A261" s="64"/>
      <c r="B261" s="64"/>
      <c r="C261" s="64"/>
      <c r="D261" s="64"/>
      <c r="E261" s="64"/>
      <c r="F261" s="64"/>
      <c r="G261" s="65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</row>
    <row r="262">
      <c r="A262" s="64"/>
      <c r="B262" s="64"/>
      <c r="C262" s="64"/>
      <c r="D262" s="64"/>
      <c r="E262" s="64"/>
      <c r="F262" s="64"/>
      <c r="G262" s="65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</row>
    <row r="263">
      <c r="A263" s="64"/>
      <c r="B263" s="64"/>
      <c r="C263" s="64"/>
      <c r="D263" s="64"/>
      <c r="E263" s="64"/>
      <c r="F263" s="64"/>
      <c r="G263" s="65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</row>
    <row r="264">
      <c r="A264" s="64"/>
      <c r="B264" s="64"/>
      <c r="C264" s="64"/>
      <c r="D264" s="64"/>
      <c r="E264" s="64"/>
      <c r="F264" s="64"/>
      <c r="G264" s="65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</row>
    <row r="265">
      <c r="A265" s="64"/>
      <c r="B265" s="64"/>
      <c r="C265" s="64"/>
      <c r="D265" s="64"/>
      <c r="E265" s="64"/>
      <c r="F265" s="64"/>
      <c r="G265" s="65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</row>
    <row r="266">
      <c r="A266" s="64"/>
      <c r="B266" s="64"/>
      <c r="C266" s="64"/>
      <c r="D266" s="64"/>
      <c r="E266" s="64"/>
      <c r="F266" s="64"/>
      <c r="G266" s="65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</row>
    <row r="267">
      <c r="A267" s="64"/>
      <c r="B267" s="64"/>
      <c r="C267" s="64"/>
      <c r="D267" s="64"/>
      <c r="E267" s="64"/>
      <c r="F267" s="64"/>
      <c r="G267" s="65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</row>
    <row r="268">
      <c r="A268" s="64"/>
      <c r="B268" s="64"/>
      <c r="C268" s="64"/>
      <c r="D268" s="64"/>
      <c r="E268" s="64"/>
      <c r="F268" s="64"/>
      <c r="G268" s="65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</row>
    <row r="269">
      <c r="A269" s="64"/>
      <c r="B269" s="64"/>
      <c r="C269" s="64"/>
      <c r="D269" s="64"/>
      <c r="E269" s="64"/>
      <c r="F269" s="64"/>
      <c r="G269" s="65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</row>
    <row r="270">
      <c r="A270" s="64"/>
      <c r="B270" s="64"/>
      <c r="C270" s="64"/>
      <c r="D270" s="64"/>
      <c r="E270" s="64"/>
      <c r="F270" s="64"/>
      <c r="G270" s="65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</row>
    <row r="271">
      <c r="A271" s="64"/>
      <c r="B271" s="64"/>
      <c r="C271" s="64"/>
      <c r="D271" s="64"/>
      <c r="E271" s="64"/>
      <c r="F271" s="64"/>
      <c r="G271" s="65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</row>
    <row r="272">
      <c r="A272" s="64"/>
      <c r="B272" s="64"/>
      <c r="C272" s="64"/>
      <c r="D272" s="64"/>
      <c r="E272" s="64"/>
      <c r="F272" s="64"/>
      <c r="G272" s="65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</row>
    <row r="273">
      <c r="A273" s="64"/>
      <c r="B273" s="64"/>
      <c r="C273" s="64"/>
      <c r="D273" s="64"/>
      <c r="E273" s="64"/>
      <c r="F273" s="64"/>
      <c r="G273" s="65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</row>
    <row r="274">
      <c r="A274" s="64"/>
      <c r="B274" s="64"/>
      <c r="C274" s="64"/>
      <c r="D274" s="64"/>
      <c r="E274" s="64"/>
      <c r="F274" s="64"/>
      <c r="G274" s="65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</row>
    <row r="275">
      <c r="A275" s="64"/>
      <c r="B275" s="64"/>
      <c r="C275" s="64"/>
      <c r="D275" s="64"/>
      <c r="E275" s="64"/>
      <c r="F275" s="64"/>
      <c r="G275" s="65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</row>
    <row r="276">
      <c r="A276" s="64"/>
      <c r="B276" s="64"/>
      <c r="C276" s="64"/>
      <c r="D276" s="64"/>
      <c r="E276" s="64"/>
      <c r="F276" s="64"/>
      <c r="G276" s="65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</row>
    <row r="277">
      <c r="A277" s="64"/>
      <c r="B277" s="64"/>
      <c r="C277" s="64"/>
      <c r="D277" s="64"/>
      <c r="E277" s="64"/>
      <c r="F277" s="64"/>
      <c r="G277" s="65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</row>
    <row r="278">
      <c r="A278" s="64"/>
      <c r="B278" s="64"/>
      <c r="C278" s="64"/>
      <c r="D278" s="64"/>
      <c r="E278" s="64"/>
      <c r="F278" s="64"/>
      <c r="G278" s="65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</row>
    <row r="279">
      <c r="A279" s="64"/>
      <c r="B279" s="64"/>
      <c r="C279" s="64"/>
      <c r="D279" s="64"/>
      <c r="E279" s="64"/>
      <c r="F279" s="64"/>
      <c r="G279" s="65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</row>
    <row r="280">
      <c r="A280" s="64"/>
      <c r="B280" s="64"/>
      <c r="C280" s="64"/>
      <c r="D280" s="64"/>
      <c r="E280" s="64"/>
      <c r="F280" s="64"/>
      <c r="G280" s="65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</row>
    <row r="281">
      <c r="A281" s="64"/>
      <c r="B281" s="64"/>
      <c r="C281" s="64"/>
      <c r="D281" s="64"/>
      <c r="E281" s="64"/>
      <c r="F281" s="64"/>
      <c r="G281" s="65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</row>
    <row r="282">
      <c r="A282" s="64"/>
      <c r="B282" s="64"/>
      <c r="C282" s="64"/>
      <c r="D282" s="64"/>
      <c r="E282" s="64"/>
      <c r="F282" s="64"/>
      <c r="G282" s="65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</row>
    <row r="283">
      <c r="A283" s="64"/>
      <c r="B283" s="64"/>
      <c r="C283" s="64"/>
      <c r="D283" s="64"/>
      <c r="E283" s="64"/>
      <c r="F283" s="64"/>
      <c r="G283" s="65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</row>
    <row r="284">
      <c r="A284" s="64"/>
      <c r="B284" s="64"/>
      <c r="C284" s="64"/>
      <c r="D284" s="64"/>
      <c r="E284" s="64"/>
      <c r="F284" s="64"/>
      <c r="G284" s="65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</row>
    <row r="285">
      <c r="A285" s="64"/>
      <c r="B285" s="64"/>
      <c r="C285" s="64"/>
      <c r="D285" s="64"/>
      <c r="E285" s="64"/>
      <c r="F285" s="64"/>
      <c r="G285" s="65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</row>
    <row r="286">
      <c r="A286" s="64"/>
      <c r="B286" s="64"/>
      <c r="C286" s="64"/>
      <c r="D286" s="64"/>
      <c r="E286" s="64"/>
      <c r="F286" s="64"/>
      <c r="G286" s="65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</row>
    <row r="287">
      <c r="A287" s="64"/>
      <c r="B287" s="64"/>
      <c r="C287" s="64"/>
      <c r="D287" s="64"/>
      <c r="E287" s="64"/>
      <c r="F287" s="64"/>
      <c r="G287" s="65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</row>
    <row r="288">
      <c r="A288" s="64"/>
      <c r="B288" s="64"/>
      <c r="C288" s="64"/>
      <c r="D288" s="64"/>
      <c r="E288" s="64"/>
      <c r="F288" s="64"/>
      <c r="G288" s="65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</row>
    <row r="289">
      <c r="A289" s="64"/>
      <c r="B289" s="64"/>
      <c r="C289" s="64"/>
      <c r="D289" s="64"/>
      <c r="E289" s="64"/>
      <c r="F289" s="64"/>
      <c r="G289" s="65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</row>
    <row r="290">
      <c r="A290" s="64"/>
      <c r="B290" s="64"/>
      <c r="C290" s="64"/>
      <c r="D290" s="64"/>
      <c r="E290" s="64"/>
      <c r="F290" s="64"/>
      <c r="G290" s="65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</row>
    <row r="291">
      <c r="A291" s="64"/>
      <c r="B291" s="64"/>
      <c r="C291" s="64"/>
      <c r="D291" s="64"/>
      <c r="E291" s="64"/>
      <c r="F291" s="64"/>
      <c r="G291" s="65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</row>
    <row r="292">
      <c r="A292" s="64"/>
      <c r="B292" s="64"/>
      <c r="C292" s="64"/>
      <c r="D292" s="64"/>
      <c r="E292" s="64"/>
      <c r="F292" s="64"/>
      <c r="G292" s="65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</row>
    <row r="293">
      <c r="A293" s="64"/>
      <c r="B293" s="64"/>
      <c r="C293" s="64"/>
      <c r="D293" s="64"/>
      <c r="E293" s="64"/>
      <c r="F293" s="64"/>
      <c r="G293" s="65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</row>
    <row r="294">
      <c r="A294" s="64"/>
      <c r="B294" s="64"/>
      <c r="C294" s="64"/>
      <c r="D294" s="64"/>
      <c r="E294" s="64"/>
      <c r="F294" s="64"/>
      <c r="G294" s="65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</row>
    <row r="295">
      <c r="A295" s="64"/>
      <c r="B295" s="64"/>
      <c r="C295" s="64"/>
      <c r="D295" s="64"/>
      <c r="E295" s="64"/>
      <c r="F295" s="64"/>
      <c r="G295" s="65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</row>
    <row r="296">
      <c r="A296" s="64"/>
      <c r="B296" s="64"/>
      <c r="C296" s="64"/>
      <c r="D296" s="64"/>
      <c r="E296" s="64"/>
      <c r="F296" s="64"/>
      <c r="G296" s="65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</row>
    <row r="297">
      <c r="A297" s="64"/>
      <c r="B297" s="64"/>
      <c r="C297" s="64"/>
      <c r="D297" s="64"/>
      <c r="E297" s="64"/>
      <c r="F297" s="64"/>
      <c r="G297" s="65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</row>
    <row r="298">
      <c r="A298" s="64"/>
      <c r="B298" s="64"/>
      <c r="C298" s="64"/>
      <c r="D298" s="64"/>
      <c r="E298" s="64"/>
      <c r="F298" s="64"/>
      <c r="G298" s="65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</row>
    <row r="299">
      <c r="A299" s="64"/>
      <c r="B299" s="64"/>
      <c r="C299" s="64"/>
      <c r="D299" s="64"/>
      <c r="E299" s="64"/>
      <c r="F299" s="64"/>
      <c r="G299" s="65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</row>
    <row r="300">
      <c r="A300" s="64"/>
      <c r="B300" s="64"/>
      <c r="C300" s="64"/>
      <c r="D300" s="64"/>
      <c r="E300" s="64"/>
      <c r="F300" s="64"/>
      <c r="G300" s="65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</row>
    <row r="301">
      <c r="A301" s="64"/>
      <c r="B301" s="64"/>
      <c r="C301" s="64"/>
      <c r="D301" s="64"/>
      <c r="E301" s="64"/>
      <c r="F301" s="64"/>
      <c r="G301" s="65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</row>
    <row r="302">
      <c r="A302" s="64"/>
      <c r="B302" s="64"/>
      <c r="C302" s="64"/>
      <c r="D302" s="64"/>
      <c r="E302" s="64"/>
      <c r="F302" s="64"/>
      <c r="G302" s="65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</row>
    <row r="303">
      <c r="A303" s="64"/>
      <c r="B303" s="64"/>
      <c r="C303" s="64"/>
      <c r="D303" s="64"/>
      <c r="E303" s="64"/>
      <c r="F303" s="64"/>
      <c r="G303" s="65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</row>
    <row r="304">
      <c r="A304" s="64"/>
      <c r="B304" s="64"/>
      <c r="C304" s="64"/>
      <c r="D304" s="64"/>
      <c r="E304" s="64"/>
      <c r="F304" s="64"/>
      <c r="G304" s="65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</row>
    <row r="305">
      <c r="A305" s="64"/>
      <c r="B305" s="64"/>
      <c r="C305" s="64"/>
      <c r="D305" s="64"/>
      <c r="E305" s="64"/>
      <c r="F305" s="64"/>
      <c r="G305" s="65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</row>
    <row r="306">
      <c r="A306" s="64"/>
      <c r="B306" s="64"/>
      <c r="C306" s="64"/>
      <c r="D306" s="64"/>
      <c r="E306" s="64"/>
      <c r="F306" s="64"/>
      <c r="G306" s="65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</row>
    <row r="307">
      <c r="A307" s="64"/>
      <c r="B307" s="64"/>
      <c r="C307" s="64"/>
      <c r="D307" s="64"/>
      <c r="E307" s="64"/>
      <c r="F307" s="64"/>
      <c r="G307" s="65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</row>
    <row r="308">
      <c r="A308" s="64"/>
      <c r="B308" s="64"/>
      <c r="C308" s="64"/>
      <c r="D308" s="64"/>
      <c r="E308" s="64"/>
      <c r="F308" s="64"/>
      <c r="G308" s="65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</row>
    <row r="309">
      <c r="A309" s="64"/>
      <c r="B309" s="64"/>
      <c r="C309" s="64"/>
      <c r="D309" s="64"/>
      <c r="E309" s="64"/>
      <c r="F309" s="64"/>
      <c r="G309" s="65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</row>
    <row r="310">
      <c r="A310" s="64"/>
      <c r="B310" s="64"/>
      <c r="C310" s="64"/>
      <c r="D310" s="64"/>
      <c r="E310" s="64"/>
      <c r="F310" s="64"/>
      <c r="G310" s="65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</row>
    <row r="311">
      <c r="A311" s="64"/>
      <c r="B311" s="64"/>
      <c r="C311" s="64"/>
      <c r="D311" s="64"/>
      <c r="E311" s="64"/>
      <c r="F311" s="64"/>
      <c r="G311" s="65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</row>
    <row r="312">
      <c r="A312" s="64"/>
      <c r="B312" s="64"/>
      <c r="C312" s="64"/>
      <c r="D312" s="64"/>
      <c r="E312" s="64"/>
      <c r="F312" s="64"/>
      <c r="G312" s="65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</row>
    <row r="313">
      <c r="A313" s="64"/>
      <c r="B313" s="64"/>
      <c r="C313" s="64"/>
      <c r="D313" s="64"/>
      <c r="E313" s="64"/>
      <c r="F313" s="64"/>
      <c r="G313" s="65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</row>
    <row r="314">
      <c r="A314" s="64"/>
      <c r="B314" s="64"/>
      <c r="C314" s="64"/>
      <c r="D314" s="64"/>
      <c r="E314" s="64"/>
      <c r="F314" s="64"/>
      <c r="G314" s="65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</row>
    <row r="315">
      <c r="A315" s="64"/>
      <c r="B315" s="64"/>
      <c r="C315" s="64"/>
      <c r="D315" s="64"/>
      <c r="E315" s="64"/>
      <c r="F315" s="64"/>
      <c r="G315" s="65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</row>
    <row r="316">
      <c r="A316" s="64"/>
      <c r="B316" s="64"/>
      <c r="C316" s="64"/>
      <c r="D316" s="64"/>
      <c r="E316" s="64"/>
      <c r="F316" s="64"/>
      <c r="G316" s="65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</row>
    <row r="317">
      <c r="A317" s="64"/>
      <c r="B317" s="64"/>
      <c r="C317" s="64"/>
      <c r="D317" s="64"/>
      <c r="E317" s="64"/>
      <c r="F317" s="64"/>
      <c r="G317" s="65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</row>
    <row r="318">
      <c r="A318" s="64"/>
      <c r="B318" s="64"/>
      <c r="C318" s="64"/>
      <c r="D318" s="64"/>
      <c r="E318" s="64"/>
      <c r="F318" s="64"/>
      <c r="G318" s="65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</row>
    <row r="319">
      <c r="A319" s="64"/>
      <c r="B319" s="64"/>
      <c r="C319" s="64"/>
      <c r="D319" s="64"/>
      <c r="E319" s="64"/>
      <c r="F319" s="64"/>
      <c r="G319" s="65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</row>
    <row r="320">
      <c r="A320" s="64"/>
      <c r="B320" s="64"/>
      <c r="C320" s="64"/>
      <c r="D320" s="64"/>
      <c r="E320" s="64"/>
      <c r="F320" s="64"/>
      <c r="G320" s="65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</row>
    <row r="321">
      <c r="A321" s="64"/>
      <c r="B321" s="64"/>
      <c r="C321" s="64"/>
      <c r="D321" s="64"/>
      <c r="E321" s="64"/>
      <c r="F321" s="64"/>
      <c r="G321" s="65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</row>
    <row r="322">
      <c r="A322" s="64"/>
      <c r="B322" s="64"/>
      <c r="C322" s="64"/>
      <c r="D322" s="64"/>
      <c r="E322" s="64"/>
      <c r="F322" s="64"/>
      <c r="G322" s="65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</row>
    <row r="323">
      <c r="A323" s="64"/>
      <c r="B323" s="64"/>
      <c r="C323" s="64"/>
      <c r="D323" s="64"/>
      <c r="E323" s="64"/>
      <c r="F323" s="64"/>
      <c r="G323" s="65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</row>
    <row r="324">
      <c r="A324" s="64"/>
      <c r="B324" s="64"/>
      <c r="C324" s="64"/>
      <c r="D324" s="64"/>
      <c r="E324" s="64"/>
      <c r="F324" s="64"/>
      <c r="G324" s="65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</row>
    <row r="325">
      <c r="A325" s="64"/>
      <c r="B325" s="64"/>
      <c r="C325" s="64"/>
      <c r="D325" s="64"/>
      <c r="E325" s="64"/>
      <c r="F325" s="64"/>
      <c r="G325" s="65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</row>
    <row r="326">
      <c r="A326" s="64"/>
      <c r="B326" s="64"/>
      <c r="C326" s="64"/>
      <c r="D326" s="64"/>
      <c r="E326" s="64"/>
      <c r="F326" s="64"/>
      <c r="G326" s="65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</row>
    <row r="327">
      <c r="A327" s="64"/>
      <c r="B327" s="64"/>
      <c r="C327" s="64"/>
      <c r="D327" s="64"/>
      <c r="E327" s="64"/>
      <c r="F327" s="64"/>
      <c r="G327" s="65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</row>
    <row r="328">
      <c r="A328" s="64"/>
      <c r="B328" s="64"/>
      <c r="C328" s="64"/>
      <c r="D328" s="64"/>
      <c r="E328" s="64"/>
      <c r="F328" s="64"/>
      <c r="G328" s="65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</row>
    <row r="329">
      <c r="A329" s="64"/>
      <c r="B329" s="64"/>
      <c r="C329" s="64"/>
      <c r="D329" s="64"/>
      <c r="E329" s="64"/>
      <c r="F329" s="64"/>
      <c r="G329" s="65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</row>
    <row r="330">
      <c r="A330" s="64"/>
      <c r="B330" s="64"/>
      <c r="C330" s="64"/>
      <c r="D330" s="64"/>
      <c r="E330" s="64"/>
      <c r="F330" s="64"/>
      <c r="G330" s="65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</row>
    <row r="331">
      <c r="A331" s="64"/>
      <c r="B331" s="64"/>
      <c r="C331" s="64"/>
      <c r="D331" s="64"/>
      <c r="E331" s="64"/>
      <c r="F331" s="64"/>
      <c r="G331" s="65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</row>
    <row r="332">
      <c r="A332" s="64"/>
      <c r="B332" s="64"/>
      <c r="C332" s="64"/>
      <c r="D332" s="64"/>
      <c r="E332" s="64"/>
      <c r="F332" s="64"/>
      <c r="G332" s="65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</row>
    <row r="333">
      <c r="A333" s="64"/>
      <c r="B333" s="64"/>
      <c r="C333" s="64"/>
      <c r="D333" s="64"/>
      <c r="E333" s="64"/>
      <c r="F333" s="64"/>
      <c r="G333" s="65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</row>
    <row r="334">
      <c r="A334" s="64"/>
      <c r="B334" s="64"/>
      <c r="C334" s="64"/>
      <c r="D334" s="64"/>
      <c r="E334" s="64"/>
      <c r="F334" s="64"/>
      <c r="G334" s="65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</row>
    <row r="335">
      <c r="A335" s="64"/>
      <c r="B335" s="64"/>
      <c r="C335" s="64"/>
      <c r="D335" s="64"/>
      <c r="E335" s="64"/>
      <c r="F335" s="64"/>
      <c r="G335" s="65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</row>
    <row r="336">
      <c r="A336" s="64"/>
      <c r="B336" s="64"/>
      <c r="C336" s="64"/>
      <c r="D336" s="64"/>
      <c r="E336" s="64"/>
      <c r="F336" s="64"/>
      <c r="G336" s="65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</row>
    <row r="337">
      <c r="A337" s="64"/>
      <c r="B337" s="64"/>
      <c r="C337" s="64"/>
      <c r="D337" s="64"/>
      <c r="E337" s="64"/>
      <c r="F337" s="64"/>
      <c r="G337" s="65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</row>
    <row r="338">
      <c r="A338" s="64"/>
      <c r="B338" s="64"/>
      <c r="C338" s="64"/>
      <c r="D338" s="64"/>
      <c r="E338" s="64"/>
      <c r="F338" s="64"/>
      <c r="G338" s="65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</row>
    <row r="339">
      <c r="A339" s="64"/>
      <c r="B339" s="64"/>
      <c r="C339" s="64"/>
      <c r="D339" s="64"/>
      <c r="E339" s="64"/>
      <c r="F339" s="64"/>
      <c r="G339" s="65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</row>
    <row r="340">
      <c r="A340" s="64"/>
      <c r="B340" s="64"/>
      <c r="C340" s="64"/>
      <c r="D340" s="64"/>
      <c r="E340" s="64"/>
      <c r="F340" s="64"/>
      <c r="G340" s="65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</row>
    <row r="341">
      <c r="A341" s="64"/>
      <c r="B341" s="64"/>
      <c r="C341" s="64"/>
      <c r="D341" s="64"/>
      <c r="E341" s="64"/>
      <c r="F341" s="64"/>
      <c r="G341" s="65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</row>
    <row r="342">
      <c r="A342" s="64"/>
      <c r="B342" s="64"/>
      <c r="C342" s="64"/>
      <c r="D342" s="64"/>
      <c r="E342" s="64"/>
      <c r="F342" s="64"/>
      <c r="G342" s="65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</row>
    <row r="343">
      <c r="A343" s="64"/>
      <c r="B343" s="64"/>
      <c r="C343" s="64"/>
      <c r="D343" s="64"/>
      <c r="E343" s="64"/>
      <c r="F343" s="64"/>
      <c r="G343" s="65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</row>
    <row r="344">
      <c r="A344" s="64"/>
      <c r="B344" s="64"/>
      <c r="C344" s="64"/>
      <c r="D344" s="64"/>
      <c r="E344" s="64"/>
      <c r="F344" s="64"/>
      <c r="G344" s="65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</row>
    <row r="345">
      <c r="A345" s="64"/>
      <c r="B345" s="64"/>
      <c r="C345" s="64"/>
      <c r="D345" s="64"/>
      <c r="E345" s="64"/>
      <c r="F345" s="64"/>
      <c r="G345" s="65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</row>
    <row r="346">
      <c r="A346" s="64"/>
      <c r="B346" s="64"/>
      <c r="C346" s="64"/>
      <c r="D346" s="64"/>
      <c r="E346" s="64"/>
      <c r="F346" s="64"/>
      <c r="G346" s="65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</row>
    <row r="347">
      <c r="A347" s="64"/>
      <c r="B347" s="64"/>
      <c r="C347" s="64"/>
      <c r="D347" s="64"/>
      <c r="E347" s="64"/>
      <c r="F347" s="64"/>
      <c r="G347" s="65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</row>
    <row r="348">
      <c r="A348" s="64"/>
      <c r="B348" s="64"/>
      <c r="C348" s="64"/>
      <c r="D348" s="64"/>
      <c r="E348" s="64"/>
      <c r="F348" s="64"/>
      <c r="G348" s="65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</row>
    <row r="349">
      <c r="A349" s="64"/>
      <c r="B349" s="64"/>
      <c r="C349" s="64"/>
      <c r="D349" s="64"/>
      <c r="E349" s="64"/>
      <c r="F349" s="64"/>
      <c r="G349" s="65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</row>
    <row r="350">
      <c r="A350" s="64"/>
      <c r="B350" s="64"/>
      <c r="C350" s="64"/>
      <c r="D350" s="64"/>
      <c r="E350" s="64"/>
      <c r="F350" s="64"/>
      <c r="G350" s="65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</row>
    <row r="351">
      <c r="A351" s="64"/>
      <c r="B351" s="64"/>
      <c r="C351" s="64"/>
      <c r="D351" s="64"/>
      <c r="E351" s="64"/>
      <c r="F351" s="64"/>
      <c r="G351" s="65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</row>
    <row r="352">
      <c r="A352" s="64"/>
      <c r="B352" s="64"/>
      <c r="C352" s="64"/>
      <c r="D352" s="64"/>
      <c r="E352" s="64"/>
      <c r="F352" s="64"/>
      <c r="G352" s="65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</row>
    <row r="353">
      <c r="A353" s="64"/>
      <c r="B353" s="64"/>
      <c r="C353" s="64"/>
      <c r="D353" s="64"/>
      <c r="E353" s="64"/>
      <c r="F353" s="64"/>
      <c r="G353" s="65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</row>
    <row r="354">
      <c r="A354" s="64"/>
      <c r="B354" s="64"/>
      <c r="C354" s="64"/>
      <c r="D354" s="64"/>
      <c r="E354" s="64"/>
      <c r="F354" s="64"/>
      <c r="G354" s="65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</row>
    <row r="355">
      <c r="A355" s="64"/>
      <c r="B355" s="64"/>
      <c r="C355" s="64"/>
      <c r="D355" s="64"/>
      <c r="E355" s="64"/>
      <c r="F355" s="64"/>
      <c r="G355" s="65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</row>
    <row r="356">
      <c r="A356" s="64"/>
      <c r="B356" s="64"/>
      <c r="C356" s="64"/>
      <c r="D356" s="64"/>
      <c r="E356" s="64"/>
      <c r="F356" s="64"/>
      <c r="G356" s="65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</row>
    <row r="357">
      <c r="A357" s="64"/>
      <c r="B357" s="64"/>
      <c r="C357" s="64"/>
      <c r="D357" s="64"/>
      <c r="E357" s="64"/>
      <c r="F357" s="64"/>
      <c r="G357" s="65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</row>
    <row r="358">
      <c r="A358" s="64"/>
      <c r="B358" s="64"/>
      <c r="C358" s="64"/>
      <c r="D358" s="64"/>
      <c r="E358" s="64"/>
      <c r="F358" s="64"/>
      <c r="G358" s="65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</row>
    <row r="359">
      <c r="A359" s="64"/>
      <c r="B359" s="64"/>
      <c r="C359" s="64"/>
      <c r="D359" s="64"/>
      <c r="E359" s="64"/>
      <c r="F359" s="64"/>
      <c r="G359" s="65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</row>
    <row r="360">
      <c r="A360" s="64"/>
      <c r="B360" s="64"/>
      <c r="C360" s="64"/>
      <c r="D360" s="64"/>
      <c r="E360" s="64"/>
      <c r="F360" s="64"/>
      <c r="G360" s="65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</row>
    <row r="361">
      <c r="A361" s="64"/>
      <c r="B361" s="64"/>
      <c r="C361" s="64"/>
      <c r="D361" s="64"/>
      <c r="E361" s="64"/>
      <c r="F361" s="64"/>
      <c r="G361" s="65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</row>
    <row r="362">
      <c r="A362" s="64"/>
      <c r="B362" s="64"/>
      <c r="C362" s="64"/>
      <c r="D362" s="64"/>
      <c r="E362" s="64"/>
      <c r="F362" s="64"/>
      <c r="G362" s="65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</row>
    <row r="363">
      <c r="A363" s="64"/>
      <c r="B363" s="64"/>
      <c r="C363" s="64"/>
      <c r="D363" s="64"/>
      <c r="E363" s="64"/>
      <c r="F363" s="64"/>
      <c r="G363" s="65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</row>
    <row r="364">
      <c r="A364" s="64"/>
      <c r="B364" s="64"/>
      <c r="C364" s="64"/>
      <c r="D364" s="64"/>
      <c r="E364" s="64"/>
      <c r="F364" s="64"/>
      <c r="G364" s="65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</row>
    <row r="365">
      <c r="A365" s="64"/>
      <c r="B365" s="64"/>
      <c r="C365" s="64"/>
      <c r="D365" s="64"/>
      <c r="E365" s="64"/>
      <c r="F365" s="64"/>
      <c r="G365" s="65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</row>
    <row r="366">
      <c r="A366" s="64"/>
      <c r="B366" s="64"/>
      <c r="C366" s="64"/>
      <c r="D366" s="64"/>
      <c r="E366" s="64"/>
      <c r="F366" s="64"/>
      <c r="G366" s="65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</row>
    <row r="367">
      <c r="A367" s="64"/>
      <c r="B367" s="64"/>
      <c r="C367" s="64"/>
      <c r="D367" s="64"/>
      <c r="E367" s="64"/>
      <c r="F367" s="64"/>
      <c r="G367" s="65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</row>
    <row r="368">
      <c r="A368" s="64"/>
      <c r="B368" s="64"/>
      <c r="C368" s="64"/>
      <c r="D368" s="64"/>
      <c r="E368" s="64"/>
      <c r="F368" s="64"/>
      <c r="G368" s="65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</row>
    <row r="369">
      <c r="A369" s="64"/>
      <c r="B369" s="64"/>
      <c r="C369" s="64"/>
      <c r="D369" s="64"/>
      <c r="E369" s="64"/>
      <c r="F369" s="64"/>
      <c r="G369" s="65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</row>
    <row r="370">
      <c r="A370" s="64"/>
      <c r="B370" s="64"/>
      <c r="C370" s="64"/>
      <c r="D370" s="64"/>
      <c r="E370" s="64"/>
      <c r="F370" s="64"/>
      <c r="G370" s="65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</row>
    <row r="371">
      <c r="A371" s="64"/>
      <c r="B371" s="64"/>
      <c r="C371" s="64"/>
      <c r="D371" s="64"/>
      <c r="E371" s="64"/>
      <c r="F371" s="64"/>
      <c r="G371" s="65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</row>
    <row r="372">
      <c r="A372" s="64"/>
      <c r="B372" s="64"/>
      <c r="C372" s="64"/>
      <c r="D372" s="64"/>
      <c r="E372" s="64"/>
      <c r="F372" s="64"/>
      <c r="G372" s="65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</row>
    <row r="373">
      <c r="A373" s="64"/>
      <c r="B373" s="64"/>
      <c r="C373" s="64"/>
      <c r="D373" s="64"/>
      <c r="E373" s="64"/>
      <c r="F373" s="64"/>
      <c r="G373" s="65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</row>
    <row r="374">
      <c r="A374" s="64"/>
      <c r="B374" s="64"/>
      <c r="C374" s="64"/>
      <c r="D374" s="64"/>
      <c r="E374" s="64"/>
      <c r="F374" s="64"/>
      <c r="G374" s="65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</row>
    <row r="375">
      <c r="A375" s="64"/>
      <c r="B375" s="64"/>
      <c r="C375" s="64"/>
      <c r="D375" s="64"/>
      <c r="E375" s="64"/>
      <c r="F375" s="64"/>
      <c r="G375" s="65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</row>
    <row r="376">
      <c r="A376" s="64"/>
      <c r="B376" s="64"/>
      <c r="C376" s="64"/>
      <c r="D376" s="64"/>
      <c r="E376" s="64"/>
      <c r="F376" s="64"/>
      <c r="G376" s="65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</row>
    <row r="377">
      <c r="A377" s="64"/>
      <c r="B377" s="64"/>
      <c r="C377" s="64"/>
      <c r="D377" s="64"/>
      <c r="E377" s="64"/>
      <c r="F377" s="64"/>
      <c r="G377" s="65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</row>
    <row r="378">
      <c r="A378" s="64"/>
      <c r="B378" s="64"/>
      <c r="C378" s="64"/>
      <c r="D378" s="64"/>
      <c r="E378" s="64"/>
      <c r="F378" s="64"/>
      <c r="G378" s="65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</row>
    <row r="379">
      <c r="A379" s="64"/>
      <c r="B379" s="64"/>
      <c r="C379" s="64"/>
      <c r="D379" s="64"/>
      <c r="E379" s="64"/>
      <c r="F379" s="64"/>
      <c r="G379" s="65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</row>
    <row r="380">
      <c r="A380" s="64"/>
      <c r="B380" s="64"/>
      <c r="C380" s="64"/>
      <c r="D380" s="64"/>
      <c r="E380" s="64"/>
      <c r="F380" s="64"/>
      <c r="G380" s="65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</row>
    <row r="381">
      <c r="A381" s="64"/>
      <c r="B381" s="64"/>
      <c r="C381" s="64"/>
      <c r="D381" s="64"/>
      <c r="E381" s="64"/>
      <c r="F381" s="64"/>
      <c r="G381" s="65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</row>
    <row r="382">
      <c r="A382" s="64"/>
      <c r="B382" s="64"/>
      <c r="C382" s="64"/>
      <c r="D382" s="64"/>
      <c r="E382" s="64"/>
      <c r="F382" s="64"/>
      <c r="G382" s="65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</row>
    <row r="383">
      <c r="A383" s="64"/>
      <c r="B383" s="64"/>
      <c r="C383" s="64"/>
      <c r="D383" s="64"/>
      <c r="E383" s="64"/>
      <c r="F383" s="64"/>
      <c r="G383" s="65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</row>
    <row r="384">
      <c r="A384" s="64"/>
      <c r="B384" s="64"/>
      <c r="C384" s="64"/>
      <c r="D384" s="64"/>
      <c r="E384" s="64"/>
      <c r="F384" s="64"/>
      <c r="G384" s="65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</row>
    <row r="385">
      <c r="A385" s="64"/>
      <c r="B385" s="64"/>
      <c r="C385" s="64"/>
      <c r="D385" s="64"/>
      <c r="E385" s="64"/>
      <c r="F385" s="64"/>
      <c r="G385" s="65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</row>
    <row r="386">
      <c r="A386" s="64"/>
      <c r="B386" s="64"/>
      <c r="C386" s="64"/>
      <c r="D386" s="64"/>
      <c r="E386" s="64"/>
      <c r="F386" s="64"/>
      <c r="G386" s="65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</row>
    <row r="387">
      <c r="A387" s="64"/>
      <c r="B387" s="64"/>
      <c r="C387" s="64"/>
      <c r="D387" s="64"/>
      <c r="E387" s="64"/>
      <c r="F387" s="64"/>
      <c r="G387" s="65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</row>
    <row r="388">
      <c r="A388" s="64"/>
      <c r="B388" s="64"/>
      <c r="C388" s="64"/>
      <c r="D388" s="64"/>
      <c r="E388" s="64"/>
      <c r="F388" s="64"/>
      <c r="G388" s="65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</row>
    <row r="389">
      <c r="A389" s="64"/>
      <c r="B389" s="64"/>
      <c r="C389" s="64"/>
      <c r="D389" s="64"/>
      <c r="E389" s="64"/>
      <c r="F389" s="64"/>
      <c r="G389" s="65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</row>
    <row r="390">
      <c r="A390" s="64"/>
      <c r="B390" s="64"/>
      <c r="C390" s="64"/>
      <c r="D390" s="64"/>
      <c r="E390" s="64"/>
      <c r="F390" s="64"/>
      <c r="G390" s="65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</row>
    <row r="391">
      <c r="A391" s="64"/>
      <c r="B391" s="64"/>
      <c r="C391" s="64"/>
      <c r="D391" s="64"/>
      <c r="E391" s="64"/>
      <c r="F391" s="64"/>
      <c r="G391" s="65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</row>
    <row r="392">
      <c r="A392" s="64"/>
      <c r="B392" s="64"/>
      <c r="C392" s="64"/>
      <c r="D392" s="64"/>
      <c r="E392" s="64"/>
      <c r="F392" s="64"/>
      <c r="G392" s="65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</row>
    <row r="393">
      <c r="A393" s="64"/>
      <c r="B393" s="64"/>
      <c r="C393" s="64"/>
      <c r="D393" s="64"/>
      <c r="E393" s="64"/>
      <c r="F393" s="64"/>
      <c r="G393" s="65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</row>
    <row r="394">
      <c r="A394" s="64"/>
      <c r="B394" s="64"/>
      <c r="C394" s="64"/>
      <c r="D394" s="64"/>
      <c r="E394" s="64"/>
      <c r="F394" s="64"/>
      <c r="G394" s="65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</row>
    <row r="395">
      <c r="A395" s="64"/>
      <c r="B395" s="64"/>
      <c r="C395" s="64"/>
      <c r="D395" s="64"/>
      <c r="E395" s="64"/>
      <c r="F395" s="64"/>
      <c r="G395" s="65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</row>
    <row r="396">
      <c r="A396" s="64"/>
      <c r="B396" s="64"/>
      <c r="C396" s="64"/>
      <c r="D396" s="64"/>
      <c r="E396" s="64"/>
      <c r="F396" s="64"/>
      <c r="G396" s="65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</row>
    <row r="397">
      <c r="A397" s="64"/>
      <c r="B397" s="64"/>
      <c r="C397" s="64"/>
      <c r="D397" s="64"/>
      <c r="E397" s="64"/>
      <c r="F397" s="64"/>
      <c r="G397" s="65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</row>
    <row r="398">
      <c r="A398" s="64"/>
      <c r="B398" s="64"/>
      <c r="C398" s="64"/>
      <c r="D398" s="64"/>
      <c r="E398" s="64"/>
      <c r="F398" s="64"/>
      <c r="G398" s="65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</row>
    <row r="399">
      <c r="A399" s="64"/>
      <c r="B399" s="64"/>
      <c r="C399" s="64"/>
      <c r="D399" s="64"/>
      <c r="E399" s="64"/>
      <c r="F399" s="64"/>
      <c r="G399" s="65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</row>
    <row r="400">
      <c r="A400" s="64"/>
      <c r="B400" s="64"/>
      <c r="C400" s="64"/>
      <c r="D400" s="64"/>
      <c r="E400" s="64"/>
      <c r="F400" s="64"/>
      <c r="G400" s="65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</row>
    <row r="401">
      <c r="A401" s="64"/>
      <c r="B401" s="64"/>
      <c r="C401" s="64"/>
      <c r="D401" s="64"/>
      <c r="E401" s="64"/>
      <c r="F401" s="64"/>
      <c r="G401" s="65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</row>
    <row r="402">
      <c r="A402" s="64"/>
      <c r="B402" s="64"/>
      <c r="C402" s="64"/>
      <c r="D402" s="64"/>
      <c r="E402" s="64"/>
      <c r="F402" s="64"/>
      <c r="G402" s="65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</row>
    <row r="403">
      <c r="A403" s="64"/>
      <c r="B403" s="64"/>
      <c r="C403" s="64"/>
      <c r="D403" s="64"/>
      <c r="E403" s="64"/>
      <c r="F403" s="64"/>
      <c r="G403" s="65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</row>
    <row r="404">
      <c r="A404" s="64"/>
      <c r="B404" s="64"/>
      <c r="C404" s="64"/>
      <c r="D404" s="64"/>
      <c r="E404" s="64"/>
      <c r="F404" s="64"/>
      <c r="G404" s="65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</row>
    <row r="405">
      <c r="A405" s="64"/>
      <c r="B405" s="64"/>
      <c r="C405" s="64"/>
      <c r="D405" s="64"/>
      <c r="E405" s="64"/>
      <c r="F405" s="64"/>
      <c r="G405" s="65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</row>
    <row r="406">
      <c r="A406" s="64"/>
      <c r="B406" s="64"/>
      <c r="C406" s="64"/>
      <c r="D406" s="64"/>
      <c r="E406" s="64"/>
      <c r="F406" s="64"/>
      <c r="G406" s="65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</row>
    <row r="407">
      <c r="A407" s="64"/>
      <c r="B407" s="64"/>
      <c r="C407" s="64"/>
      <c r="D407" s="64"/>
      <c r="E407" s="64"/>
      <c r="F407" s="64"/>
      <c r="G407" s="65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</row>
    <row r="408">
      <c r="A408" s="64"/>
      <c r="B408" s="64"/>
      <c r="C408" s="64"/>
      <c r="D408" s="64"/>
      <c r="E408" s="64"/>
      <c r="F408" s="64"/>
      <c r="G408" s="65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</row>
    <row r="409">
      <c r="A409" s="64"/>
      <c r="B409" s="64"/>
      <c r="C409" s="64"/>
      <c r="D409" s="64"/>
      <c r="E409" s="64"/>
      <c r="F409" s="64"/>
      <c r="G409" s="65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</row>
    <row r="410">
      <c r="A410" s="64"/>
      <c r="B410" s="64"/>
      <c r="C410" s="64"/>
      <c r="D410" s="64"/>
      <c r="E410" s="64"/>
      <c r="F410" s="64"/>
      <c r="G410" s="65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</row>
    <row r="411">
      <c r="A411" s="64"/>
      <c r="B411" s="64"/>
      <c r="C411" s="64"/>
      <c r="D411" s="64"/>
      <c r="E411" s="64"/>
      <c r="F411" s="64"/>
      <c r="G411" s="65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</row>
    <row r="412">
      <c r="A412" s="64"/>
      <c r="B412" s="64"/>
      <c r="C412" s="64"/>
      <c r="D412" s="64"/>
      <c r="E412" s="64"/>
      <c r="F412" s="64"/>
      <c r="G412" s="65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</row>
    <row r="413">
      <c r="A413" s="64"/>
      <c r="B413" s="64"/>
      <c r="C413" s="64"/>
      <c r="D413" s="64"/>
      <c r="E413" s="64"/>
      <c r="F413" s="64"/>
      <c r="G413" s="65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</row>
    <row r="414">
      <c r="A414" s="64"/>
      <c r="B414" s="64"/>
      <c r="C414" s="64"/>
      <c r="D414" s="64"/>
      <c r="E414" s="64"/>
      <c r="F414" s="64"/>
      <c r="G414" s="65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</row>
    <row r="415">
      <c r="A415" s="64"/>
      <c r="B415" s="64"/>
      <c r="C415" s="64"/>
      <c r="D415" s="64"/>
      <c r="E415" s="64"/>
      <c r="F415" s="64"/>
      <c r="G415" s="65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</row>
    <row r="416">
      <c r="A416" s="64"/>
      <c r="B416" s="64"/>
      <c r="C416" s="64"/>
      <c r="D416" s="64"/>
      <c r="E416" s="64"/>
      <c r="F416" s="64"/>
      <c r="G416" s="65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</row>
    <row r="417">
      <c r="A417" s="64"/>
      <c r="B417" s="64"/>
      <c r="C417" s="64"/>
      <c r="D417" s="64"/>
      <c r="E417" s="64"/>
      <c r="F417" s="64"/>
      <c r="G417" s="65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</row>
    <row r="418">
      <c r="A418" s="64"/>
      <c r="B418" s="64"/>
      <c r="C418" s="64"/>
      <c r="D418" s="64"/>
      <c r="E418" s="64"/>
      <c r="F418" s="64"/>
      <c r="G418" s="65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</row>
    <row r="419">
      <c r="A419" s="64"/>
      <c r="B419" s="64"/>
      <c r="C419" s="64"/>
      <c r="D419" s="64"/>
      <c r="E419" s="64"/>
      <c r="F419" s="64"/>
      <c r="G419" s="65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</row>
    <row r="420">
      <c r="A420" s="64"/>
      <c r="B420" s="64"/>
      <c r="C420" s="64"/>
      <c r="D420" s="64"/>
      <c r="E420" s="64"/>
      <c r="F420" s="64"/>
      <c r="G420" s="65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</row>
    <row r="421">
      <c r="A421" s="64"/>
      <c r="B421" s="64"/>
      <c r="C421" s="64"/>
      <c r="D421" s="64"/>
      <c r="E421" s="64"/>
      <c r="F421" s="64"/>
      <c r="G421" s="65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</row>
    <row r="422">
      <c r="A422" s="64"/>
      <c r="B422" s="64"/>
      <c r="C422" s="64"/>
      <c r="D422" s="64"/>
      <c r="E422" s="64"/>
      <c r="F422" s="64"/>
      <c r="G422" s="65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</row>
    <row r="423">
      <c r="A423" s="64"/>
      <c r="B423" s="64"/>
      <c r="C423" s="64"/>
      <c r="D423" s="64"/>
      <c r="E423" s="64"/>
      <c r="F423" s="64"/>
      <c r="G423" s="65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</row>
    <row r="424">
      <c r="A424" s="64"/>
      <c r="B424" s="64"/>
      <c r="C424" s="64"/>
      <c r="D424" s="64"/>
      <c r="E424" s="64"/>
      <c r="F424" s="64"/>
      <c r="G424" s="65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</row>
    <row r="425">
      <c r="A425" s="64"/>
      <c r="B425" s="64"/>
      <c r="C425" s="64"/>
      <c r="D425" s="64"/>
      <c r="E425" s="64"/>
      <c r="F425" s="64"/>
      <c r="G425" s="65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</row>
    <row r="426">
      <c r="A426" s="64"/>
      <c r="B426" s="64"/>
      <c r="C426" s="64"/>
      <c r="D426" s="64"/>
      <c r="E426" s="64"/>
      <c r="F426" s="64"/>
      <c r="G426" s="65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</row>
    <row r="427">
      <c r="A427" s="64"/>
      <c r="B427" s="64"/>
      <c r="C427" s="64"/>
      <c r="D427" s="64"/>
      <c r="E427" s="64"/>
      <c r="F427" s="64"/>
      <c r="G427" s="65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</row>
    <row r="428">
      <c r="A428" s="64"/>
      <c r="B428" s="64"/>
      <c r="C428" s="64"/>
      <c r="D428" s="64"/>
      <c r="E428" s="64"/>
      <c r="F428" s="64"/>
      <c r="G428" s="65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</row>
    <row r="429">
      <c r="A429" s="64"/>
      <c r="B429" s="64"/>
      <c r="C429" s="64"/>
      <c r="D429" s="64"/>
      <c r="E429" s="64"/>
      <c r="F429" s="64"/>
      <c r="G429" s="65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</row>
    <row r="430">
      <c r="A430" s="64"/>
      <c r="B430" s="64"/>
      <c r="C430" s="64"/>
      <c r="D430" s="64"/>
      <c r="E430" s="64"/>
      <c r="F430" s="64"/>
      <c r="G430" s="65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</row>
    <row r="431">
      <c r="A431" s="64"/>
      <c r="B431" s="64"/>
      <c r="C431" s="64"/>
      <c r="D431" s="64"/>
      <c r="E431" s="64"/>
      <c r="F431" s="64"/>
      <c r="G431" s="65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</row>
    <row r="432">
      <c r="A432" s="64"/>
      <c r="B432" s="64"/>
      <c r="C432" s="64"/>
      <c r="D432" s="64"/>
      <c r="E432" s="64"/>
      <c r="F432" s="64"/>
      <c r="G432" s="65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</row>
    <row r="433">
      <c r="A433" s="64"/>
      <c r="B433" s="64"/>
      <c r="C433" s="64"/>
      <c r="D433" s="64"/>
      <c r="E433" s="64"/>
      <c r="F433" s="64"/>
      <c r="G433" s="65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</row>
    <row r="434">
      <c r="A434" s="64"/>
      <c r="B434" s="64"/>
      <c r="C434" s="64"/>
      <c r="D434" s="64"/>
      <c r="E434" s="64"/>
      <c r="F434" s="64"/>
      <c r="G434" s="65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</row>
    <row r="435">
      <c r="A435" s="64"/>
      <c r="B435" s="64"/>
      <c r="C435" s="64"/>
      <c r="D435" s="64"/>
      <c r="E435" s="64"/>
      <c r="F435" s="64"/>
      <c r="G435" s="65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</row>
    <row r="436">
      <c r="A436" s="64"/>
      <c r="B436" s="64"/>
      <c r="C436" s="64"/>
      <c r="D436" s="64"/>
      <c r="E436" s="64"/>
      <c r="F436" s="64"/>
      <c r="G436" s="65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</row>
    <row r="437">
      <c r="A437" s="64"/>
      <c r="B437" s="64"/>
      <c r="C437" s="64"/>
      <c r="D437" s="64"/>
      <c r="E437" s="64"/>
      <c r="F437" s="64"/>
      <c r="G437" s="65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</row>
    <row r="438">
      <c r="A438" s="64"/>
      <c r="B438" s="64"/>
      <c r="C438" s="64"/>
      <c r="D438" s="64"/>
      <c r="E438" s="64"/>
      <c r="F438" s="64"/>
      <c r="G438" s="65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</row>
    <row r="439">
      <c r="A439" s="64"/>
      <c r="B439" s="64"/>
      <c r="C439" s="64"/>
      <c r="D439" s="64"/>
      <c r="E439" s="64"/>
      <c r="F439" s="64"/>
      <c r="G439" s="65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</row>
    <row r="440">
      <c r="A440" s="64"/>
      <c r="B440" s="64"/>
      <c r="C440" s="64"/>
      <c r="D440" s="64"/>
      <c r="E440" s="64"/>
      <c r="F440" s="64"/>
      <c r="G440" s="65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</row>
    <row r="441">
      <c r="A441" s="64"/>
      <c r="B441" s="64"/>
      <c r="C441" s="64"/>
      <c r="D441" s="64"/>
      <c r="E441" s="64"/>
      <c r="F441" s="64"/>
      <c r="G441" s="65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</row>
    <row r="442">
      <c r="A442" s="64"/>
      <c r="B442" s="64"/>
      <c r="C442" s="64"/>
      <c r="D442" s="64"/>
      <c r="E442" s="64"/>
      <c r="F442" s="64"/>
      <c r="G442" s="65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</row>
    <row r="443">
      <c r="A443" s="64"/>
      <c r="B443" s="64"/>
      <c r="C443" s="64"/>
      <c r="D443" s="64"/>
      <c r="E443" s="64"/>
      <c r="F443" s="64"/>
      <c r="G443" s="65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</row>
    <row r="444">
      <c r="A444" s="64"/>
      <c r="B444" s="64"/>
      <c r="C444" s="64"/>
      <c r="D444" s="64"/>
      <c r="E444" s="64"/>
      <c r="F444" s="64"/>
      <c r="G444" s="65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</row>
    <row r="445">
      <c r="A445" s="64"/>
      <c r="B445" s="64"/>
      <c r="C445" s="64"/>
      <c r="D445" s="64"/>
      <c r="E445" s="64"/>
      <c r="F445" s="64"/>
      <c r="G445" s="65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</row>
    <row r="446">
      <c r="A446" s="64"/>
      <c r="B446" s="64"/>
      <c r="C446" s="64"/>
      <c r="D446" s="64"/>
      <c r="E446" s="64"/>
      <c r="F446" s="64"/>
      <c r="G446" s="65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</row>
    <row r="447">
      <c r="A447" s="64"/>
      <c r="B447" s="64"/>
      <c r="C447" s="64"/>
      <c r="D447" s="64"/>
      <c r="E447" s="64"/>
      <c r="F447" s="64"/>
      <c r="G447" s="65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</row>
    <row r="448">
      <c r="A448" s="64"/>
      <c r="B448" s="64"/>
      <c r="C448" s="64"/>
      <c r="D448" s="64"/>
      <c r="E448" s="64"/>
      <c r="F448" s="64"/>
      <c r="G448" s="65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</row>
    <row r="449">
      <c r="A449" s="64"/>
      <c r="B449" s="64"/>
      <c r="C449" s="64"/>
      <c r="D449" s="64"/>
      <c r="E449" s="64"/>
      <c r="F449" s="64"/>
      <c r="G449" s="65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</row>
    <row r="450">
      <c r="A450" s="64"/>
      <c r="B450" s="64"/>
      <c r="C450" s="64"/>
      <c r="D450" s="64"/>
      <c r="E450" s="64"/>
      <c r="F450" s="64"/>
      <c r="G450" s="65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</row>
    <row r="451">
      <c r="A451" s="64"/>
      <c r="B451" s="64"/>
      <c r="C451" s="64"/>
      <c r="D451" s="64"/>
      <c r="E451" s="64"/>
      <c r="F451" s="64"/>
      <c r="G451" s="65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</row>
    <row r="452">
      <c r="A452" s="64"/>
      <c r="B452" s="64"/>
      <c r="C452" s="64"/>
      <c r="D452" s="64"/>
      <c r="E452" s="64"/>
      <c r="F452" s="64"/>
      <c r="G452" s="65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</row>
    <row r="453">
      <c r="A453" s="64"/>
      <c r="B453" s="64"/>
      <c r="C453" s="64"/>
      <c r="D453" s="64"/>
      <c r="E453" s="64"/>
      <c r="F453" s="64"/>
      <c r="G453" s="65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</row>
    <row r="454">
      <c r="A454" s="64"/>
      <c r="B454" s="64"/>
      <c r="C454" s="64"/>
      <c r="D454" s="64"/>
      <c r="E454" s="64"/>
      <c r="F454" s="64"/>
      <c r="G454" s="65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</row>
    <row r="455">
      <c r="A455" s="64"/>
      <c r="B455" s="64"/>
      <c r="C455" s="64"/>
      <c r="D455" s="64"/>
      <c r="E455" s="64"/>
      <c r="F455" s="64"/>
      <c r="G455" s="65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</row>
    <row r="456">
      <c r="A456" s="64"/>
      <c r="B456" s="64"/>
      <c r="C456" s="64"/>
      <c r="D456" s="64"/>
      <c r="E456" s="64"/>
      <c r="F456" s="64"/>
      <c r="G456" s="65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</row>
    <row r="457">
      <c r="A457" s="64"/>
      <c r="B457" s="64"/>
      <c r="C457" s="64"/>
      <c r="D457" s="64"/>
      <c r="E457" s="64"/>
      <c r="F457" s="64"/>
      <c r="G457" s="65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</row>
    <row r="458">
      <c r="A458" s="64"/>
      <c r="B458" s="64"/>
      <c r="C458" s="64"/>
      <c r="D458" s="64"/>
      <c r="E458" s="64"/>
      <c r="F458" s="64"/>
      <c r="G458" s="65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</row>
    <row r="459">
      <c r="A459" s="64"/>
      <c r="B459" s="64"/>
      <c r="C459" s="64"/>
      <c r="D459" s="64"/>
      <c r="E459" s="64"/>
      <c r="F459" s="64"/>
      <c r="G459" s="65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</row>
    <row r="460">
      <c r="A460" s="64"/>
      <c r="B460" s="64"/>
      <c r="C460" s="64"/>
      <c r="D460" s="64"/>
      <c r="E460" s="64"/>
      <c r="F460" s="64"/>
      <c r="G460" s="65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</row>
    <row r="461">
      <c r="A461" s="64"/>
      <c r="B461" s="64"/>
      <c r="C461" s="64"/>
      <c r="D461" s="64"/>
      <c r="E461" s="64"/>
      <c r="F461" s="64"/>
      <c r="G461" s="65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</row>
    <row r="462">
      <c r="A462" s="64"/>
      <c r="B462" s="64"/>
      <c r="C462" s="64"/>
      <c r="D462" s="64"/>
      <c r="E462" s="64"/>
      <c r="F462" s="64"/>
      <c r="G462" s="65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</row>
    <row r="463">
      <c r="A463" s="64"/>
      <c r="B463" s="64"/>
      <c r="C463" s="64"/>
      <c r="D463" s="64"/>
      <c r="E463" s="64"/>
      <c r="F463" s="64"/>
      <c r="G463" s="65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</row>
    <row r="464">
      <c r="A464" s="64"/>
      <c r="B464" s="64"/>
      <c r="C464" s="64"/>
      <c r="D464" s="64"/>
      <c r="E464" s="64"/>
      <c r="F464" s="64"/>
      <c r="G464" s="65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</row>
    <row r="465">
      <c r="A465" s="64"/>
      <c r="B465" s="64"/>
      <c r="C465" s="64"/>
      <c r="D465" s="64"/>
      <c r="E465" s="64"/>
      <c r="F465" s="64"/>
      <c r="G465" s="65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</row>
    <row r="466">
      <c r="A466" s="64"/>
      <c r="B466" s="64"/>
      <c r="C466" s="64"/>
      <c r="D466" s="64"/>
      <c r="E466" s="64"/>
      <c r="F466" s="64"/>
      <c r="G466" s="65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</row>
    <row r="467">
      <c r="A467" s="64"/>
      <c r="B467" s="64"/>
      <c r="C467" s="64"/>
      <c r="D467" s="64"/>
      <c r="E467" s="64"/>
      <c r="F467" s="64"/>
      <c r="G467" s="65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</row>
    <row r="468">
      <c r="A468" s="64"/>
      <c r="B468" s="64"/>
      <c r="C468" s="64"/>
      <c r="D468" s="64"/>
      <c r="E468" s="64"/>
      <c r="F468" s="64"/>
      <c r="G468" s="65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</row>
    <row r="469">
      <c r="A469" s="64"/>
      <c r="B469" s="64"/>
      <c r="C469" s="64"/>
      <c r="D469" s="64"/>
      <c r="E469" s="64"/>
      <c r="F469" s="64"/>
      <c r="G469" s="65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</row>
    <row r="470">
      <c r="A470" s="64"/>
      <c r="B470" s="64"/>
      <c r="C470" s="64"/>
      <c r="D470" s="64"/>
      <c r="E470" s="64"/>
      <c r="F470" s="64"/>
      <c r="G470" s="65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</row>
    <row r="471">
      <c r="A471" s="64"/>
      <c r="B471" s="64"/>
      <c r="C471" s="64"/>
      <c r="D471" s="64"/>
      <c r="E471" s="64"/>
      <c r="F471" s="64"/>
      <c r="G471" s="65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</row>
    <row r="472">
      <c r="A472" s="64"/>
      <c r="B472" s="64"/>
      <c r="C472" s="64"/>
      <c r="D472" s="64"/>
      <c r="E472" s="64"/>
      <c r="F472" s="64"/>
      <c r="G472" s="65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</row>
    <row r="473">
      <c r="A473" s="64"/>
      <c r="B473" s="64"/>
      <c r="C473" s="64"/>
      <c r="D473" s="64"/>
      <c r="E473" s="64"/>
      <c r="F473" s="64"/>
      <c r="G473" s="65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</row>
    <row r="474">
      <c r="A474" s="64"/>
      <c r="B474" s="64"/>
      <c r="C474" s="64"/>
      <c r="D474" s="64"/>
      <c r="E474" s="64"/>
      <c r="F474" s="64"/>
      <c r="G474" s="65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</row>
    <row r="475">
      <c r="A475" s="64"/>
      <c r="B475" s="64"/>
      <c r="C475" s="64"/>
      <c r="D475" s="64"/>
      <c r="E475" s="64"/>
      <c r="F475" s="64"/>
      <c r="G475" s="65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</row>
    <row r="476">
      <c r="A476" s="64"/>
      <c r="B476" s="64"/>
      <c r="C476" s="64"/>
      <c r="D476" s="64"/>
      <c r="E476" s="64"/>
      <c r="F476" s="64"/>
      <c r="G476" s="65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</row>
    <row r="477">
      <c r="A477" s="64"/>
      <c r="B477" s="64"/>
      <c r="C477" s="64"/>
      <c r="D477" s="64"/>
      <c r="E477" s="64"/>
      <c r="F477" s="64"/>
      <c r="G477" s="65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</row>
    <row r="478">
      <c r="A478" s="64"/>
      <c r="B478" s="64"/>
      <c r="C478" s="64"/>
      <c r="D478" s="64"/>
      <c r="E478" s="64"/>
      <c r="F478" s="64"/>
      <c r="G478" s="65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</row>
    <row r="479">
      <c r="A479" s="64"/>
      <c r="B479" s="64"/>
      <c r="C479" s="64"/>
      <c r="D479" s="64"/>
      <c r="E479" s="64"/>
      <c r="F479" s="64"/>
      <c r="G479" s="65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</row>
    <row r="480">
      <c r="A480" s="64"/>
      <c r="B480" s="64"/>
      <c r="C480" s="64"/>
      <c r="D480" s="64"/>
      <c r="E480" s="64"/>
      <c r="F480" s="64"/>
      <c r="G480" s="65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</row>
    <row r="481">
      <c r="A481" s="64"/>
      <c r="B481" s="64"/>
      <c r="C481" s="64"/>
      <c r="D481" s="64"/>
      <c r="E481" s="64"/>
      <c r="F481" s="64"/>
      <c r="G481" s="65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</row>
    <row r="482">
      <c r="A482" s="64"/>
      <c r="B482" s="64"/>
      <c r="C482" s="64"/>
      <c r="D482" s="64"/>
      <c r="E482" s="64"/>
      <c r="F482" s="64"/>
      <c r="G482" s="65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</row>
    <row r="483">
      <c r="A483" s="64"/>
      <c r="B483" s="64"/>
      <c r="C483" s="64"/>
      <c r="D483" s="64"/>
      <c r="E483" s="64"/>
      <c r="F483" s="64"/>
      <c r="G483" s="65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</row>
    <row r="484">
      <c r="A484" s="64"/>
      <c r="B484" s="64"/>
      <c r="C484" s="64"/>
      <c r="D484" s="64"/>
      <c r="E484" s="64"/>
      <c r="F484" s="64"/>
      <c r="G484" s="65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</row>
    <row r="485">
      <c r="A485" s="64"/>
      <c r="B485" s="64"/>
      <c r="C485" s="64"/>
      <c r="D485" s="64"/>
      <c r="E485" s="64"/>
      <c r="F485" s="64"/>
      <c r="G485" s="65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</row>
    <row r="486">
      <c r="A486" s="64"/>
      <c r="B486" s="64"/>
      <c r="C486" s="64"/>
      <c r="D486" s="64"/>
      <c r="E486" s="64"/>
      <c r="F486" s="64"/>
      <c r="G486" s="65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</row>
    <row r="487">
      <c r="A487" s="64"/>
      <c r="B487" s="64"/>
      <c r="C487" s="64"/>
      <c r="D487" s="64"/>
      <c r="E487" s="64"/>
      <c r="F487" s="64"/>
      <c r="G487" s="65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</row>
    <row r="488">
      <c r="A488" s="64"/>
      <c r="B488" s="64"/>
      <c r="C488" s="64"/>
      <c r="D488" s="64"/>
      <c r="E488" s="64"/>
      <c r="F488" s="64"/>
      <c r="G488" s="65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</row>
    <row r="489">
      <c r="A489" s="64"/>
      <c r="B489" s="64"/>
      <c r="C489" s="64"/>
      <c r="D489" s="64"/>
      <c r="E489" s="64"/>
      <c r="F489" s="64"/>
      <c r="G489" s="65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</row>
    <row r="490">
      <c r="A490" s="64"/>
      <c r="B490" s="64"/>
      <c r="C490" s="64"/>
      <c r="D490" s="64"/>
      <c r="E490" s="64"/>
      <c r="F490" s="64"/>
      <c r="G490" s="65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</row>
    <row r="491">
      <c r="A491" s="64"/>
      <c r="B491" s="64"/>
      <c r="C491" s="64"/>
      <c r="D491" s="64"/>
      <c r="E491" s="64"/>
      <c r="F491" s="64"/>
      <c r="G491" s="65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</row>
    <row r="492">
      <c r="A492" s="64"/>
      <c r="B492" s="64"/>
      <c r="C492" s="64"/>
      <c r="D492" s="64"/>
      <c r="E492" s="64"/>
      <c r="F492" s="64"/>
      <c r="G492" s="65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</row>
    <row r="493">
      <c r="A493" s="64"/>
      <c r="B493" s="64"/>
      <c r="C493" s="64"/>
      <c r="D493" s="64"/>
      <c r="E493" s="64"/>
      <c r="F493" s="64"/>
      <c r="G493" s="65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</row>
    <row r="494">
      <c r="A494" s="64"/>
      <c r="B494" s="64"/>
      <c r="C494" s="64"/>
      <c r="D494" s="64"/>
      <c r="E494" s="64"/>
      <c r="F494" s="64"/>
      <c r="G494" s="65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</row>
    <row r="495">
      <c r="A495" s="64"/>
      <c r="B495" s="64"/>
      <c r="C495" s="64"/>
      <c r="D495" s="64"/>
      <c r="E495" s="64"/>
      <c r="F495" s="64"/>
      <c r="G495" s="65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</row>
    <row r="496">
      <c r="A496" s="64"/>
      <c r="B496" s="64"/>
      <c r="C496" s="64"/>
      <c r="D496" s="64"/>
      <c r="E496" s="64"/>
      <c r="F496" s="64"/>
      <c r="G496" s="65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</row>
    <row r="497">
      <c r="A497" s="64"/>
      <c r="B497" s="64"/>
      <c r="C497" s="64"/>
      <c r="D497" s="64"/>
      <c r="E497" s="64"/>
      <c r="F497" s="64"/>
      <c r="G497" s="65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</row>
    <row r="498">
      <c r="A498" s="64"/>
      <c r="B498" s="64"/>
      <c r="C498" s="64"/>
      <c r="D498" s="64"/>
      <c r="E498" s="64"/>
      <c r="F498" s="64"/>
      <c r="G498" s="65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</row>
    <row r="499">
      <c r="A499" s="64"/>
      <c r="B499" s="64"/>
      <c r="C499" s="64"/>
      <c r="D499" s="64"/>
      <c r="E499" s="64"/>
      <c r="F499" s="64"/>
      <c r="G499" s="65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</row>
    <row r="500">
      <c r="A500" s="64"/>
      <c r="B500" s="64"/>
      <c r="C500" s="64"/>
      <c r="D500" s="64"/>
      <c r="E500" s="64"/>
      <c r="F500" s="64"/>
      <c r="G500" s="65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</row>
    <row r="501">
      <c r="A501" s="64"/>
      <c r="B501" s="64"/>
      <c r="C501" s="64"/>
      <c r="D501" s="64"/>
      <c r="E501" s="64"/>
      <c r="F501" s="64"/>
      <c r="G501" s="65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</row>
    <row r="502">
      <c r="A502" s="64"/>
      <c r="B502" s="64"/>
      <c r="C502" s="64"/>
      <c r="D502" s="64"/>
      <c r="E502" s="64"/>
      <c r="F502" s="64"/>
      <c r="G502" s="65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</row>
    <row r="503">
      <c r="A503" s="64"/>
      <c r="B503" s="64"/>
      <c r="C503" s="64"/>
      <c r="D503" s="64"/>
      <c r="E503" s="64"/>
      <c r="F503" s="64"/>
      <c r="G503" s="65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</row>
    <row r="504">
      <c r="A504" s="64"/>
      <c r="B504" s="64"/>
      <c r="C504" s="64"/>
      <c r="D504" s="64"/>
      <c r="E504" s="64"/>
      <c r="F504" s="64"/>
      <c r="G504" s="65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</row>
    <row r="505">
      <c r="A505" s="64"/>
      <c r="B505" s="64"/>
      <c r="C505" s="64"/>
      <c r="D505" s="64"/>
      <c r="E505" s="64"/>
      <c r="F505" s="64"/>
      <c r="G505" s="65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</row>
    <row r="506">
      <c r="A506" s="64"/>
      <c r="B506" s="64"/>
      <c r="C506" s="64"/>
      <c r="D506" s="64"/>
      <c r="E506" s="64"/>
      <c r="F506" s="64"/>
      <c r="G506" s="65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</row>
    <row r="507">
      <c r="A507" s="64"/>
      <c r="B507" s="64"/>
      <c r="C507" s="64"/>
      <c r="D507" s="64"/>
      <c r="E507" s="64"/>
      <c r="F507" s="64"/>
      <c r="G507" s="65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</row>
    <row r="508">
      <c r="A508" s="64"/>
      <c r="B508" s="64"/>
      <c r="C508" s="64"/>
      <c r="D508" s="64"/>
      <c r="E508" s="64"/>
      <c r="F508" s="64"/>
      <c r="G508" s="65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</row>
    <row r="509">
      <c r="A509" s="64"/>
      <c r="B509" s="64"/>
      <c r="C509" s="64"/>
      <c r="D509" s="64"/>
      <c r="E509" s="64"/>
      <c r="F509" s="64"/>
      <c r="G509" s="65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</row>
    <row r="510">
      <c r="A510" s="64"/>
      <c r="B510" s="64"/>
      <c r="C510" s="64"/>
      <c r="D510" s="64"/>
      <c r="E510" s="64"/>
      <c r="F510" s="64"/>
      <c r="G510" s="65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</row>
    <row r="511">
      <c r="A511" s="64"/>
      <c r="B511" s="64"/>
      <c r="C511" s="64"/>
      <c r="D511" s="64"/>
      <c r="E511" s="64"/>
      <c r="F511" s="64"/>
      <c r="G511" s="65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</row>
    <row r="512">
      <c r="A512" s="64"/>
      <c r="B512" s="64"/>
      <c r="C512" s="64"/>
      <c r="D512" s="64"/>
      <c r="E512" s="64"/>
      <c r="F512" s="64"/>
      <c r="G512" s="65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</row>
    <row r="513">
      <c r="A513" s="64"/>
      <c r="B513" s="64"/>
      <c r="C513" s="64"/>
      <c r="D513" s="64"/>
      <c r="E513" s="64"/>
      <c r="F513" s="64"/>
      <c r="G513" s="65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</row>
    <row r="514">
      <c r="A514" s="64"/>
      <c r="B514" s="64"/>
      <c r="C514" s="64"/>
      <c r="D514" s="64"/>
      <c r="E514" s="64"/>
      <c r="F514" s="64"/>
      <c r="G514" s="65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</row>
    <row r="515">
      <c r="A515" s="64"/>
      <c r="B515" s="64"/>
      <c r="C515" s="64"/>
      <c r="D515" s="64"/>
      <c r="E515" s="64"/>
      <c r="F515" s="64"/>
      <c r="G515" s="65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</row>
    <row r="516">
      <c r="A516" s="64"/>
      <c r="B516" s="64"/>
      <c r="C516" s="64"/>
      <c r="D516" s="64"/>
      <c r="E516" s="64"/>
      <c r="F516" s="64"/>
      <c r="G516" s="65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</row>
    <row r="517">
      <c r="A517" s="64"/>
      <c r="B517" s="64"/>
      <c r="C517" s="64"/>
      <c r="D517" s="64"/>
      <c r="E517" s="64"/>
      <c r="F517" s="64"/>
      <c r="G517" s="65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</row>
    <row r="518">
      <c r="A518" s="64"/>
      <c r="B518" s="64"/>
      <c r="C518" s="64"/>
      <c r="D518" s="64"/>
      <c r="E518" s="64"/>
      <c r="F518" s="64"/>
      <c r="G518" s="65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</row>
    <row r="519">
      <c r="A519" s="64"/>
      <c r="B519" s="64"/>
      <c r="C519" s="64"/>
      <c r="D519" s="64"/>
      <c r="E519" s="64"/>
      <c r="F519" s="64"/>
      <c r="G519" s="65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</row>
    <row r="520">
      <c r="A520" s="64"/>
      <c r="B520" s="64"/>
      <c r="C520" s="64"/>
      <c r="D520" s="64"/>
      <c r="E520" s="64"/>
      <c r="F520" s="64"/>
      <c r="G520" s="65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</row>
    <row r="521">
      <c r="A521" s="64"/>
      <c r="B521" s="64"/>
      <c r="C521" s="64"/>
      <c r="D521" s="64"/>
      <c r="E521" s="64"/>
      <c r="F521" s="64"/>
      <c r="G521" s="65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</row>
    <row r="522">
      <c r="A522" s="64"/>
      <c r="B522" s="64"/>
      <c r="C522" s="64"/>
      <c r="D522" s="64"/>
      <c r="E522" s="64"/>
      <c r="F522" s="64"/>
      <c r="G522" s="65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</row>
    <row r="523">
      <c r="A523" s="64"/>
      <c r="B523" s="64"/>
      <c r="C523" s="64"/>
      <c r="D523" s="64"/>
      <c r="E523" s="64"/>
      <c r="F523" s="64"/>
      <c r="G523" s="65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</row>
    <row r="524">
      <c r="A524" s="64"/>
      <c r="B524" s="64"/>
      <c r="C524" s="64"/>
      <c r="D524" s="64"/>
      <c r="E524" s="64"/>
      <c r="F524" s="64"/>
      <c r="G524" s="65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</row>
    <row r="525">
      <c r="A525" s="64"/>
      <c r="B525" s="64"/>
      <c r="C525" s="64"/>
      <c r="D525" s="64"/>
      <c r="E525" s="64"/>
      <c r="F525" s="64"/>
      <c r="G525" s="65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</row>
    <row r="526">
      <c r="A526" s="64"/>
      <c r="B526" s="64"/>
      <c r="C526" s="64"/>
      <c r="D526" s="64"/>
      <c r="E526" s="64"/>
      <c r="F526" s="64"/>
      <c r="G526" s="65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</row>
    <row r="527">
      <c r="A527" s="64"/>
      <c r="B527" s="64"/>
      <c r="C527" s="64"/>
      <c r="D527" s="64"/>
      <c r="E527" s="64"/>
      <c r="F527" s="64"/>
      <c r="G527" s="65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</row>
    <row r="528">
      <c r="A528" s="64"/>
      <c r="B528" s="64"/>
      <c r="C528" s="64"/>
      <c r="D528" s="64"/>
      <c r="E528" s="64"/>
      <c r="F528" s="64"/>
      <c r="G528" s="65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</row>
    <row r="529">
      <c r="A529" s="64"/>
      <c r="B529" s="64"/>
      <c r="C529" s="64"/>
      <c r="D529" s="64"/>
      <c r="E529" s="64"/>
      <c r="F529" s="64"/>
      <c r="G529" s="65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</row>
    <row r="530">
      <c r="A530" s="64"/>
      <c r="B530" s="64"/>
      <c r="C530" s="64"/>
      <c r="D530" s="64"/>
      <c r="E530" s="64"/>
      <c r="F530" s="64"/>
      <c r="G530" s="65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</row>
    <row r="531">
      <c r="A531" s="64"/>
      <c r="B531" s="64"/>
      <c r="C531" s="64"/>
      <c r="D531" s="64"/>
      <c r="E531" s="64"/>
      <c r="F531" s="64"/>
      <c r="G531" s="65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</row>
    <row r="532">
      <c r="A532" s="64"/>
      <c r="B532" s="64"/>
      <c r="C532" s="64"/>
      <c r="D532" s="64"/>
      <c r="E532" s="64"/>
      <c r="F532" s="64"/>
      <c r="G532" s="65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</row>
    <row r="533">
      <c r="A533" s="64"/>
      <c r="B533" s="64"/>
      <c r="C533" s="64"/>
      <c r="D533" s="64"/>
      <c r="E533" s="64"/>
      <c r="F533" s="64"/>
      <c r="G533" s="65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</row>
    <row r="534">
      <c r="A534" s="64"/>
      <c r="B534" s="64"/>
      <c r="C534" s="64"/>
      <c r="D534" s="64"/>
      <c r="E534" s="64"/>
      <c r="F534" s="64"/>
      <c r="G534" s="65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</row>
    <row r="535">
      <c r="A535" s="64"/>
      <c r="B535" s="64"/>
      <c r="C535" s="64"/>
      <c r="D535" s="64"/>
      <c r="E535" s="64"/>
      <c r="F535" s="64"/>
      <c r="G535" s="65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</row>
    <row r="536">
      <c r="A536" s="64"/>
      <c r="B536" s="64"/>
      <c r="C536" s="64"/>
      <c r="D536" s="64"/>
      <c r="E536" s="64"/>
      <c r="F536" s="64"/>
      <c r="G536" s="65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</row>
    <row r="537">
      <c r="A537" s="64"/>
      <c r="B537" s="64"/>
      <c r="C537" s="64"/>
      <c r="D537" s="64"/>
      <c r="E537" s="64"/>
      <c r="F537" s="64"/>
      <c r="G537" s="65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</row>
    <row r="538">
      <c r="A538" s="64"/>
      <c r="B538" s="64"/>
      <c r="C538" s="64"/>
      <c r="D538" s="64"/>
      <c r="E538" s="64"/>
      <c r="F538" s="64"/>
      <c r="G538" s="65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</row>
    <row r="539">
      <c r="A539" s="64"/>
      <c r="B539" s="64"/>
      <c r="C539" s="64"/>
      <c r="D539" s="64"/>
      <c r="E539" s="64"/>
      <c r="F539" s="64"/>
      <c r="G539" s="65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</row>
    <row r="540">
      <c r="A540" s="64"/>
      <c r="B540" s="64"/>
      <c r="C540" s="64"/>
      <c r="D540" s="64"/>
      <c r="E540" s="64"/>
      <c r="F540" s="64"/>
      <c r="G540" s="65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</row>
    <row r="541">
      <c r="A541" s="64"/>
      <c r="B541" s="64"/>
      <c r="C541" s="64"/>
      <c r="D541" s="64"/>
      <c r="E541" s="64"/>
      <c r="F541" s="64"/>
      <c r="G541" s="65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</row>
    <row r="542">
      <c r="A542" s="64"/>
      <c r="B542" s="64"/>
      <c r="C542" s="64"/>
      <c r="D542" s="64"/>
      <c r="E542" s="64"/>
      <c r="F542" s="64"/>
      <c r="G542" s="65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</row>
    <row r="543">
      <c r="A543" s="64"/>
      <c r="B543" s="64"/>
      <c r="C543" s="64"/>
      <c r="D543" s="64"/>
      <c r="E543" s="64"/>
      <c r="F543" s="64"/>
      <c r="G543" s="65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</row>
    <row r="544">
      <c r="A544" s="64"/>
      <c r="B544" s="64"/>
      <c r="C544" s="64"/>
      <c r="D544" s="64"/>
      <c r="E544" s="64"/>
      <c r="F544" s="64"/>
      <c r="G544" s="65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</row>
    <row r="545">
      <c r="A545" s="64"/>
      <c r="B545" s="64"/>
      <c r="C545" s="64"/>
      <c r="D545" s="64"/>
      <c r="E545" s="64"/>
      <c r="F545" s="64"/>
      <c r="G545" s="65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</row>
    <row r="546">
      <c r="A546" s="64"/>
      <c r="B546" s="64"/>
      <c r="C546" s="64"/>
      <c r="D546" s="64"/>
      <c r="E546" s="64"/>
      <c r="F546" s="64"/>
      <c r="G546" s="65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</row>
    <row r="547">
      <c r="A547" s="64"/>
      <c r="B547" s="64"/>
      <c r="C547" s="64"/>
      <c r="D547" s="64"/>
      <c r="E547" s="64"/>
      <c r="F547" s="64"/>
      <c r="G547" s="65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</row>
    <row r="548">
      <c r="A548" s="64"/>
      <c r="B548" s="64"/>
      <c r="C548" s="64"/>
      <c r="D548" s="64"/>
      <c r="E548" s="64"/>
      <c r="F548" s="64"/>
      <c r="G548" s="65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</row>
    <row r="549">
      <c r="A549" s="64"/>
      <c r="B549" s="64"/>
      <c r="C549" s="64"/>
      <c r="D549" s="64"/>
      <c r="E549" s="64"/>
      <c r="F549" s="64"/>
      <c r="G549" s="65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</row>
    <row r="550">
      <c r="A550" s="64"/>
      <c r="B550" s="64"/>
      <c r="C550" s="64"/>
      <c r="D550" s="64"/>
      <c r="E550" s="64"/>
      <c r="F550" s="64"/>
      <c r="G550" s="65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</row>
    <row r="551">
      <c r="A551" s="64"/>
      <c r="B551" s="64"/>
      <c r="C551" s="64"/>
      <c r="D551" s="64"/>
      <c r="E551" s="64"/>
      <c r="F551" s="64"/>
      <c r="G551" s="65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</row>
    <row r="552">
      <c r="A552" s="64"/>
      <c r="B552" s="64"/>
      <c r="C552" s="64"/>
      <c r="D552" s="64"/>
      <c r="E552" s="64"/>
      <c r="F552" s="64"/>
      <c r="G552" s="65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</row>
    <row r="553">
      <c r="A553" s="64"/>
      <c r="B553" s="64"/>
      <c r="C553" s="64"/>
      <c r="D553" s="64"/>
      <c r="E553" s="64"/>
      <c r="F553" s="64"/>
      <c r="G553" s="65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</row>
    <row r="554">
      <c r="A554" s="64"/>
      <c r="B554" s="64"/>
      <c r="C554" s="64"/>
      <c r="D554" s="64"/>
      <c r="E554" s="64"/>
      <c r="F554" s="64"/>
      <c r="G554" s="65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</row>
    <row r="555">
      <c r="A555" s="64"/>
      <c r="B555" s="64"/>
      <c r="C555" s="64"/>
      <c r="D555" s="64"/>
      <c r="E555" s="64"/>
      <c r="F555" s="64"/>
      <c r="G555" s="65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</row>
    <row r="556">
      <c r="A556" s="64"/>
      <c r="B556" s="64"/>
      <c r="C556" s="64"/>
      <c r="D556" s="64"/>
      <c r="E556" s="64"/>
      <c r="F556" s="64"/>
      <c r="G556" s="65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</row>
    <row r="557">
      <c r="A557" s="64"/>
      <c r="B557" s="64"/>
      <c r="C557" s="64"/>
      <c r="D557" s="64"/>
      <c r="E557" s="64"/>
      <c r="F557" s="64"/>
      <c r="G557" s="65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</row>
    <row r="558">
      <c r="A558" s="64"/>
      <c r="B558" s="64"/>
      <c r="C558" s="64"/>
      <c r="D558" s="64"/>
      <c r="E558" s="64"/>
      <c r="F558" s="64"/>
      <c r="G558" s="65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</row>
    <row r="559">
      <c r="A559" s="64"/>
      <c r="B559" s="64"/>
      <c r="C559" s="64"/>
      <c r="D559" s="64"/>
      <c r="E559" s="64"/>
      <c r="F559" s="64"/>
      <c r="G559" s="65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</row>
    <row r="560">
      <c r="A560" s="64"/>
      <c r="B560" s="64"/>
      <c r="C560" s="64"/>
      <c r="D560" s="64"/>
      <c r="E560" s="64"/>
      <c r="F560" s="64"/>
      <c r="G560" s="65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</row>
    <row r="561">
      <c r="A561" s="64"/>
      <c r="B561" s="64"/>
      <c r="C561" s="64"/>
      <c r="D561" s="64"/>
      <c r="E561" s="64"/>
      <c r="F561" s="64"/>
      <c r="G561" s="65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</row>
    <row r="562">
      <c r="A562" s="64"/>
      <c r="B562" s="64"/>
      <c r="C562" s="64"/>
      <c r="D562" s="64"/>
      <c r="E562" s="64"/>
      <c r="F562" s="64"/>
      <c r="G562" s="65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</row>
    <row r="563">
      <c r="A563" s="64"/>
      <c r="B563" s="64"/>
      <c r="C563" s="64"/>
      <c r="D563" s="64"/>
      <c r="E563" s="64"/>
      <c r="F563" s="64"/>
      <c r="G563" s="65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</row>
    <row r="564">
      <c r="A564" s="64"/>
      <c r="B564" s="64"/>
      <c r="C564" s="64"/>
      <c r="D564" s="64"/>
      <c r="E564" s="64"/>
      <c r="F564" s="64"/>
      <c r="G564" s="65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</row>
    <row r="565">
      <c r="A565" s="64"/>
      <c r="B565" s="64"/>
      <c r="C565" s="64"/>
      <c r="D565" s="64"/>
      <c r="E565" s="64"/>
      <c r="F565" s="64"/>
      <c r="G565" s="65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</row>
    <row r="566">
      <c r="A566" s="64"/>
      <c r="B566" s="64"/>
      <c r="C566" s="64"/>
      <c r="D566" s="64"/>
      <c r="E566" s="64"/>
      <c r="F566" s="64"/>
      <c r="G566" s="65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</row>
    <row r="567">
      <c r="A567" s="64"/>
      <c r="B567" s="64"/>
      <c r="C567" s="64"/>
      <c r="D567" s="64"/>
      <c r="E567" s="64"/>
      <c r="F567" s="64"/>
      <c r="G567" s="65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</row>
    <row r="568">
      <c r="A568" s="64"/>
      <c r="B568" s="64"/>
      <c r="C568" s="64"/>
      <c r="D568" s="64"/>
      <c r="E568" s="64"/>
      <c r="F568" s="64"/>
      <c r="G568" s="65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</row>
    <row r="569">
      <c r="A569" s="64"/>
      <c r="B569" s="64"/>
      <c r="C569" s="64"/>
      <c r="D569" s="64"/>
      <c r="E569" s="64"/>
      <c r="F569" s="64"/>
      <c r="G569" s="65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</row>
    <row r="570">
      <c r="A570" s="64"/>
      <c r="B570" s="64"/>
      <c r="C570" s="64"/>
      <c r="D570" s="64"/>
      <c r="E570" s="64"/>
      <c r="F570" s="64"/>
      <c r="G570" s="65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</row>
    <row r="571">
      <c r="A571" s="64"/>
      <c r="B571" s="64"/>
      <c r="C571" s="64"/>
      <c r="D571" s="64"/>
      <c r="E571" s="64"/>
      <c r="F571" s="64"/>
      <c r="G571" s="65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</row>
    <row r="572">
      <c r="A572" s="64"/>
      <c r="B572" s="64"/>
      <c r="C572" s="64"/>
      <c r="D572" s="64"/>
      <c r="E572" s="64"/>
      <c r="F572" s="64"/>
      <c r="G572" s="65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</row>
    <row r="573">
      <c r="A573" s="64"/>
      <c r="B573" s="64"/>
      <c r="C573" s="64"/>
      <c r="D573" s="64"/>
      <c r="E573" s="64"/>
      <c r="F573" s="64"/>
      <c r="G573" s="65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</row>
    <row r="574">
      <c r="A574" s="64"/>
      <c r="B574" s="64"/>
      <c r="C574" s="64"/>
      <c r="D574" s="64"/>
      <c r="E574" s="64"/>
      <c r="F574" s="64"/>
      <c r="G574" s="65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</row>
    <row r="575">
      <c r="A575" s="64"/>
      <c r="B575" s="64"/>
      <c r="C575" s="64"/>
      <c r="D575" s="64"/>
      <c r="E575" s="64"/>
      <c r="F575" s="64"/>
      <c r="G575" s="65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</row>
    <row r="576">
      <c r="A576" s="64"/>
      <c r="B576" s="64"/>
      <c r="C576" s="64"/>
      <c r="D576" s="64"/>
      <c r="E576" s="64"/>
      <c r="F576" s="64"/>
      <c r="G576" s="65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</row>
    <row r="577">
      <c r="A577" s="64"/>
      <c r="B577" s="64"/>
      <c r="C577" s="64"/>
      <c r="D577" s="64"/>
      <c r="E577" s="64"/>
      <c r="F577" s="64"/>
      <c r="G577" s="65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</row>
    <row r="578">
      <c r="A578" s="64"/>
      <c r="B578" s="64"/>
      <c r="C578" s="64"/>
      <c r="D578" s="64"/>
      <c r="E578" s="64"/>
      <c r="F578" s="64"/>
      <c r="G578" s="65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</row>
    <row r="579">
      <c r="A579" s="64"/>
      <c r="B579" s="64"/>
      <c r="C579" s="64"/>
      <c r="D579" s="64"/>
      <c r="E579" s="64"/>
      <c r="F579" s="64"/>
      <c r="G579" s="65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</row>
    <row r="580">
      <c r="A580" s="64"/>
      <c r="B580" s="64"/>
      <c r="C580" s="64"/>
      <c r="D580" s="64"/>
      <c r="E580" s="64"/>
      <c r="F580" s="64"/>
      <c r="G580" s="65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</row>
    <row r="581">
      <c r="A581" s="64"/>
      <c r="B581" s="64"/>
      <c r="C581" s="64"/>
      <c r="D581" s="64"/>
      <c r="E581" s="64"/>
      <c r="F581" s="64"/>
      <c r="G581" s="65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</row>
    <row r="582">
      <c r="A582" s="64"/>
      <c r="B582" s="64"/>
      <c r="C582" s="64"/>
      <c r="D582" s="64"/>
      <c r="E582" s="64"/>
      <c r="F582" s="64"/>
      <c r="G582" s="65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</row>
    <row r="583">
      <c r="A583" s="64"/>
      <c r="B583" s="64"/>
      <c r="C583" s="64"/>
      <c r="D583" s="64"/>
      <c r="E583" s="64"/>
      <c r="F583" s="64"/>
      <c r="G583" s="65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</row>
    <row r="584">
      <c r="A584" s="64"/>
      <c r="B584" s="64"/>
      <c r="C584" s="64"/>
      <c r="D584" s="64"/>
      <c r="E584" s="64"/>
      <c r="F584" s="64"/>
      <c r="G584" s="65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</row>
    <row r="585">
      <c r="A585" s="64"/>
      <c r="B585" s="64"/>
      <c r="C585" s="64"/>
      <c r="D585" s="64"/>
      <c r="E585" s="64"/>
      <c r="F585" s="64"/>
      <c r="G585" s="65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</row>
    <row r="586">
      <c r="A586" s="64"/>
      <c r="B586" s="64"/>
      <c r="C586" s="64"/>
      <c r="D586" s="64"/>
      <c r="E586" s="64"/>
      <c r="F586" s="64"/>
      <c r="G586" s="65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</row>
    <row r="587">
      <c r="A587" s="64"/>
      <c r="B587" s="64"/>
      <c r="C587" s="64"/>
      <c r="D587" s="64"/>
      <c r="E587" s="64"/>
      <c r="F587" s="64"/>
      <c r="G587" s="65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</row>
    <row r="588">
      <c r="A588" s="64"/>
      <c r="B588" s="64"/>
      <c r="C588" s="64"/>
      <c r="D588" s="64"/>
      <c r="E588" s="64"/>
      <c r="F588" s="64"/>
      <c r="G588" s="65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</row>
    <row r="589">
      <c r="A589" s="64"/>
      <c r="B589" s="64"/>
      <c r="C589" s="64"/>
      <c r="D589" s="64"/>
      <c r="E589" s="64"/>
      <c r="F589" s="64"/>
      <c r="G589" s="65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</row>
    <row r="590">
      <c r="A590" s="64"/>
      <c r="B590" s="64"/>
      <c r="C590" s="64"/>
      <c r="D590" s="64"/>
      <c r="E590" s="64"/>
      <c r="F590" s="64"/>
      <c r="G590" s="65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</row>
    <row r="591">
      <c r="A591" s="64"/>
      <c r="B591" s="64"/>
      <c r="C591" s="64"/>
      <c r="D591" s="64"/>
      <c r="E591" s="64"/>
      <c r="F591" s="64"/>
      <c r="G591" s="65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</row>
    <row r="592">
      <c r="A592" s="64"/>
      <c r="B592" s="64"/>
      <c r="C592" s="64"/>
      <c r="D592" s="64"/>
      <c r="E592" s="64"/>
      <c r="F592" s="64"/>
      <c r="G592" s="65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</row>
    <row r="593">
      <c r="A593" s="64"/>
      <c r="B593" s="64"/>
      <c r="C593" s="64"/>
      <c r="D593" s="64"/>
      <c r="E593" s="64"/>
      <c r="F593" s="64"/>
      <c r="G593" s="65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</row>
    <row r="594">
      <c r="A594" s="64"/>
      <c r="B594" s="64"/>
      <c r="C594" s="64"/>
      <c r="D594" s="64"/>
      <c r="E594" s="64"/>
      <c r="F594" s="64"/>
      <c r="G594" s="65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</row>
    <row r="595">
      <c r="A595" s="64"/>
      <c r="B595" s="64"/>
      <c r="C595" s="64"/>
      <c r="D595" s="64"/>
      <c r="E595" s="64"/>
      <c r="F595" s="64"/>
      <c r="G595" s="65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</row>
    <row r="596">
      <c r="A596" s="64"/>
      <c r="B596" s="64"/>
      <c r="C596" s="64"/>
      <c r="D596" s="64"/>
      <c r="E596" s="64"/>
      <c r="F596" s="64"/>
      <c r="G596" s="65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</row>
    <row r="597">
      <c r="A597" s="64"/>
      <c r="B597" s="64"/>
      <c r="C597" s="64"/>
      <c r="D597" s="64"/>
      <c r="E597" s="64"/>
      <c r="F597" s="64"/>
      <c r="G597" s="65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</row>
    <row r="598">
      <c r="A598" s="64"/>
      <c r="B598" s="64"/>
      <c r="C598" s="64"/>
      <c r="D598" s="64"/>
      <c r="E598" s="64"/>
      <c r="F598" s="64"/>
      <c r="G598" s="65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</row>
    <row r="599">
      <c r="A599" s="64"/>
      <c r="B599" s="64"/>
      <c r="C599" s="64"/>
      <c r="D599" s="64"/>
      <c r="E599" s="64"/>
      <c r="F599" s="64"/>
      <c r="G599" s="65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</row>
    <row r="600">
      <c r="A600" s="64"/>
      <c r="B600" s="64"/>
      <c r="C600" s="64"/>
      <c r="D600" s="64"/>
      <c r="E600" s="64"/>
      <c r="F600" s="64"/>
      <c r="G600" s="65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</row>
    <row r="601">
      <c r="A601" s="64"/>
      <c r="B601" s="64"/>
      <c r="C601" s="64"/>
      <c r="D601" s="64"/>
      <c r="E601" s="64"/>
      <c r="F601" s="64"/>
      <c r="G601" s="65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</row>
    <row r="602">
      <c r="A602" s="64"/>
      <c r="B602" s="64"/>
      <c r="C602" s="64"/>
      <c r="D602" s="64"/>
      <c r="E602" s="64"/>
      <c r="F602" s="64"/>
      <c r="G602" s="65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</row>
    <row r="603">
      <c r="A603" s="64"/>
      <c r="B603" s="64"/>
      <c r="C603" s="64"/>
      <c r="D603" s="64"/>
      <c r="E603" s="64"/>
      <c r="F603" s="64"/>
      <c r="G603" s="65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</row>
    <row r="604">
      <c r="A604" s="64"/>
      <c r="B604" s="64"/>
      <c r="C604" s="64"/>
      <c r="D604" s="64"/>
      <c r="E604" s="64"/>
      <c r="F604" s="64"/>
      <c r="G604" s="65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</row>
    <row r="605">
      <c r="A605" s="64"/>
      <c r="B605" s="64"/>
      <c r="C605" s="64"/>
      <c r="D605" s="64"/>
      <c r="E605" s="64"/>
      <c r="F605" s="64"/>
      <c r="G605" s="65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</row>
    <row r="606">
      <c r="A606" s="64"/>
      <c r="B606" s="64"/>
      <c r="C606" s="64"/>
      <c r="D606" s="64"/>
      <c r="E606" s="64"/>
      <c r="F606" s="64"/>
      <c r="G606" s="65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</row>
    <row r="607">
      <c r="A607" s="64"/>
      <c r="B607" s="64"/>
      <c r="C607" s="64"/>
      <c r="D607" s="64"/>
      <c r="E607" s="64"/>
      <c r="F607" s="64"/>
      <c r="G607" s="65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</row>
    <row r="608">
      <c r="A608" s="64"/>
      <c r="B608" s="64"/>
      <c r="C608" s="64"/>
      <c r="D608" s="64"/>
      <c r="E608" s="64"/>
      <c r="F608" s="64"/>
      <c r="G608" s="65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</row>
    <row r="609">
      <c r="A609" s="64"/>
      <c r="B609" s="64"/>
      <c r="C609" s="64"/>
      <c r="D609" s="64"/>
      <c r="E609" s="64"/>
      <c r="F609" s="64"/>
      <c r="G609" s="65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</row>
    <row r="610">
      <c r="A610" s="64"/>
      <c r="B610" s="64"/>
      <c r="C610" s="64"/>
      <c r="D610" s="64"/>
      <c r="E610" s="64"/>
      <c r="F610" s="64"/>
      <c r="G610" s="65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</row>
    <row r="611">
      <c r="A611" s="64"/>
      <c r="B611" s="64"/>
      <c r="C611" s="64"/>
      <c r="D611" s="64"/>
      <c r="E611" s="64"/>
      <c r="F611" s="64"/>
      <c r="G611" s="65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</row>
    <row r="612">
      <c r="A612" s="64"/>
      <c r="B612" s="64"/>
      <c r="C612" s="64"/>
      <c r="D612" s="64"/>
      <c r="E612" s="64"/>
      <c r="F612" s="64"/>
      <c r="G612" s="65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</row>
    <row r="613">
      <c r="A613" s="64"/>
      <c r="B613" s="64"/>
      <c r="C613" s="64"/>
      <c r="D613" s="64"/>
      <c r="E613" s="64"/>
      <c r="F613" s="64"/>
      <c r="G613" s="65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</row>
    <row r="614">
      <c r="A614" s="64"/>
      <c r="B614" s="64"/>
      <c r="C614" s="64"/>
      <c r="D614" s="64"/>
      <c r="E614" s="64"/>
      <c r="F614" s="64"/>
      <c r="G614" s="65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</row>
    <row r="615">
      <c r="A615" s="64"/>
      <c r="B615" s="64"/>
      <c r="C615" s="64"/>
      <c r="D615" s="64"/>
      <c r="E615" s="64"/>
      <c r="F615" s="64"/>
      <c r="G615" s="65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</row>
    <row r="616">
      <c r="A616" s="64"/>
      <c r="B616" s="64"/>
      <c r="C616" s="64"/>
      <c r="D616" s="64"/>
      <c r="E616" s="64"/>
      <c r="F616" s="64"/>
      <c r="G616" s="65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</row>
    <row r="617">
      <c r="A617" s="64"/>
      <c r="B617" s="64"/>
      <c r="C617" s="64"/>
      <c r="D617" s="64"/>
      <c r="E617" s="64"/>
      <c r="F617" s="64"/>
      <c r="G617" s="65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</row>
    <row r="618">
      <c r="A618" s="64"/>
      <c r="B618" s="64"/>
      <c r="C618" s="64"/>
      <c r="D618" s="64"/>
      <c r="E618" s="64"/>
      <c r="F618" s="64"/>
      <c r="G618" s="65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</row>
    <row r="619">
      <c r="A619" s="64"/>
      <c r="B619" s="64"/>
      <c r="C619" s="64"/>
      <c r="D619" s="64"/>
      <c r="E619" s="64"/>
      <c r="F619" s="64"/>
      <c r="G619" s="65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</row>
    <row r="620">
      <c r="A620" s="64"/>
      <c r="B620" s="64"/>
      <c r="C620" s="64"/>
      <c r="D620" s="64"/>
      <c r="E620" s="64"/>
      <c r="F620" s="64"/>
      <c r="G620" s="65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</row>
    <row r="621">
      <c r="A621" s="64"/>
      <c r="B621" s="64"/>
      <c r="C621" s="64"/>
      <c r="D621" s="64"/>
      <c r="E621" s="64"/>
      <c r="F621" s="64"/>
      <c r="G621" s="65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</row>
    <row r="622">
      <c r="A622" s="64"/>
      <c r="B622" s="64"/>
      <c r="C622" s="64"/>
      <c r="D622" s="64"/>
      <c r="E622" s="64"/>
      <c r="F622" s="64"/>
      <c r="G622" s="65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</row>
    <row r="623">
      <c r="A623" s="64"/>
      <c r="B623" s="64"/>
      <c r="C623" s="64"/>
      <c r="D623" s="64"/>
      <c r="E623" s="64"/>
      <c r="F623" s="64"/>
      <c r="G623" s="65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</row>
    <row r="624">
      <c r="A624" s="64"/>
      <c r="B624" s="64"/>
      <c r="C624" s="64"/>
      <c r="D624" s="64"/>
      <c r="E624" s="64"/>
      <c r="F624" s="64"/>
      <c r="G624" s="65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</row>
    <row r="625">
      <c r="A625" s="64"/>
      <c r="B625" s="64"/>
      <c r="C625" s="64"/>
      <c r="D625" s="64"/>
      <c r="E625" s="64"/>
      <c r="F625" s="64"/>
      <c r="G625" s="65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</row>
    <row r="626">
      <c r="A626" s="64"/>
      <c r="B626" s="64"/>
      <c r="C626" s="64"/>
      <c r="D626" s="64"/>
      <c r="E626" s="64"/>
      <c r="F626" s="64"/>
      <c r="G626" s="65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</row>
    <row r="627">
      <c r="A627" s="64"/>
      <c r="B627" s="64"/>
      <c r="C627" s="64"/>
      <c r="D627" s="64"/>
      <c r="E627" s="64"/>
      <c r="F627" s="64"/>
      <c r="G627" s="65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</row>
    <row r="628">
      <c r="A628" s="64"/>
      <c r="B628" s="64"/>
      <c r="C628" s="64"/>
      <c r="D628" s="64"/>
      <c r="E628" s="64"/>
      <c r="F628" s="64"/>
      <c r="G628" s="65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</row>
    <row r="629">
      <c r="A629" s="64"/>
      <c r="B629" s="64"/>
      <c r="C629" s="64"/>
      <c r="D629" s="64"/>
      <c r="E629" s="64"/>
      <c r="F629" s="64"/>
      <c r="G629" s="65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</row>
    <row r="630">
      <c r="A630" s="64"/>
      <c r="B630" s="64"/>
      <c r="C630" s="64"/>
      <c r="D630" s="64"/>
      <c r="E630" s="64"/>
      <c r="F630" s="64"/>
      <c r="G630" s="65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</row>
    <row r="631">
      <c r="A631" s="64"/>
      <c r="B631" s="64"/>
      <c r="C631" s="64"/>
      <c r="D631" s="64"/>
      <c r="E631" s="64"/>
      <c r="F631" s="64"/>
      <c r="G631" s="65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</row>
    <row r="632">
      <c r="A632" s="64"/>
      <c r="B632" s="64"/>
      <c r="C632" s="64"/>
      <c r="D632" s="64"/>
      <c r="E632" s="64"/>
      <c r="F632" s="64"/>
      <c r="G632" s="65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</row>
    <row r="633">
      <c r="A633" s="64"/>
      <c r="B633" s="64"/>
      <c r="C633" s="64"/>
      <c r="D633" s="64"/>
      <c r="E633" s="64"/>
      <c r="F633" s="64"/>
      <c r="G633" s="65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</row>
    <row r="634">
      <c r="A634" s="64"/>
      <c r="B634" s="64"/>
      <c r="C634" s="64"/>
      <c r="D634" s="64"/>
      <c r="E634" s="64"/>
      <c r="F634" s="64"/>
      <c r="G634" s="65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</row>
    <row r="635">
      <c r="A635" s="64"/>
      <c r="B635" s="64"/>
      <c r="C635" s="64"/>
      <c r="D635" s="64"/>
      <c r="E635" s="64"/>
      <c r="F635" s="64"/>
      <c r="G635" s="65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</row>
    <row r="636">
      <c r="A636" s="64"/>
      <c r="B636" s="64"/>
      <c r="C636" s="64"/>
      <c r="D636" s="64"/>
      <c r="E636" s="64"/>
      <c r="F636" s="64"/>
      <c r="G636" s="65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</row>
    <row r="637">
      <c r="A637" s="64"/>
      <c r="B637" s="64"/>
      <c r="C637" s="64"/>
      <c r="D637" s="64"/>
      <c r="E637" s="64"/>
      <c r="F637" s="64"/>
      <c r="G637" s="65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</row>
    <row r="638">
      <c r="A638" s="64"/>
      <c r="B638" s="64"/>
      <c r="C638" s="64"/>
      <c r="D638" s="64"/>
      <c r="E638" s="64"/>
      <c r="F638" s="64"/>
      <c r="G638" s="65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</row>
    <row r="639">
      <c r="A639" s="64"/>
      <c r="B639" s="64"/>
      <c r="C639" s="64"/>
      <c r="D639" s="64"/>
      <c r="E639" s="64"/>
      <c r="F639" s="64"/>
      <c r="G639" s="65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</row>
    <row r="640">
      <c r="A640" s="64"/>
      <c r="B640" s="64"/>
      <c r="C640" s="64"/>
      <c r="D640" s="64"/>
      <c r="E640" s="64"/>
      <c r="F640" s="64"/>
      <c r="G640" s="65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</row>
    <row r="641">
      <c r="A641" s="64"/>
      <c r="B641" s="64"/>
      <c r="C641" s="64"/>
      <c r="D641" s="64"/>
      <c r="E641" s="64"/>
      <c r="F641" s="64"/>
      <c r="G641" s="65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</row>
    <row r="642">
      <c r="A642" s="64"/>
      <c r="B642" s="64"/>
      <c r="C642" s="64"/>
      <c r="D642" s="64"/>
      <c r="E642" s="64"/>
      <c r="F642" s="64"/>
      <c r="G642" s="65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</row>
    <row r="643">
      <c r="A643" s="64"/>
      <c r="B643" s="64"/>
      <c r="C643" s="64"/>
      <c r="D643" s="64"/>
      <c r="E643" s="64"/>
      <c r="F643" s="64"/>
      <c r="G643" s="65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</row>
    <row r="644">
      <c r="A644" s="64"/>
      <c r="B644" s="64"/>
      <c r="C644" s="64"/>
      <c r="D644" s="64"/>
      <c r="E644" s="64"/>
      <c r="F644" s="64"/>
      <c r="G644" s="65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</row>
    <row r="645">
      <c r="A645" s="64"/>
      <c r="B645" s="64"/>
      <c r="C645" s="64"/>
      <c r="D645" s="64"/>
      <c r="E645" s="64"/>
      <c r="F645" s="64"/>
      <c r="G645" s="65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</row>
    <row r="646">
      <c r="A646" s="64"/>
      <c r="B646" s="64"/>
      <c r="C646" s="64"/>
      <c r="D646" s="64"/>
      <c r="E646" s="64"/>
      <c r="F646" s="64"/>
      <c r="G646" s="65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</row>
    <row r="647">
      <c r="A647" s="64"/>
      <c r="B647" s="64"/>
      <c r="C647" s="64"/>
      <c r="D647" s="64"/>
      <c r="E647" s="64"/>
      <c r="F647" s="64"/>
      <c r="G647" s="65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</row>
    <row r="648">
      <c r="A648" s="64"/>
      <c r="B648" s="64"/>
      <c r="C648" s="64"/>
      <c r="D648" s="64"/>
      <c r="E648" s="64"/>
      <c r="F648" s="64"/>
      <c r="G648" s="65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</row>
    <row r="649">
      <c r="A649" s="64"/>
      <c r="B649" s="64"/>
      <c r="C649" s="64"/>
      <c r="D649" s="64"/>
      <c r="E649" s="64"/>
      <c r="F649" s="64"/>
      <c r="G649" s="65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</row>
    <row r="650">
      <c r="A650" s="64"/>
      <c r="B650" s="64"/>
      <c r="C650" s="64"/>
      <c r="D650" s="64"/>
      <c r="E650" s="64"/>
      <c r="F650" s="64"/>
      <c r="G650" s="65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</row>
    <row r="651">
      <c r="A651" s="64"/>
      <c r="B651" s="64"/>
      <c r="C651" s="64"/>
      <c r="D651" s="64"/>
      <c r="E651" s="64"/>
      <c r="F651" s="64"/>
      <c r="G651" s="65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</row>
    <row r="652">
      <c r="A652" s="64"/>
      <c r="B652" s="64"/>
      <c r="C652" s="64"/>
      <c r="D652" s="64"/>
      <c r="E652" s="64"/>
      <c r="F652" s="64"/>
      <c r="G652" s="65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</row>
    <row r="653">
      <c r="A653" s="64"/>
      <c r="B653" s="64"/>
      <c r="C653" s="64"/>
      <c r="D653" s="64"/>
      <c r="E653" s="64"/>
      <c r="F653" s="64"/>
      <c r="G653" s="65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</row>
    <row r="654">
      <c r="A654" s="64"/>
      <c r="B654" s="64"/>
      <c r="C654" s="64"/>
      <c r="D654" s="64"/>
      <c r="E654" s="64"/>
      <c r="F654" s="64"/>
      <c r="G654" s="65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</row>
    <row r="655">
      <c r="A655" s="64"/>
      <c r="B655" s="64"/>
      <c r="C655" s="64"/>
      <c r="D655" s="64"/>
      <c r="E655" s="64"/>
      <c r="F655" s="64"/>
      <c r="G655" s="65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</row>
    <row r="656">
      <c r="A656" s="64"/>
      <c r="B656" s="64"/>
      <c r="C656" s="64"/>
      <c r="D656" s="64"/>
      <c r="E656" s="64"/>
      <c r="F656" s="64"/>
      <c r="G656" s="65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</row>
    <row r="657">
      <c r="A657" s="64"/>
      <c r="B657" s="64"/>
      <c r="C657" s="64"/>
      <c r="D657" s="64"/>
      <c r="E657" s="64"/>
      <c r="F657" s="64"/>
      <c r="G657" s="65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</row>
    <row r="658">
      <c r="A658" s="64"/>
      <c r="B658" s="64"/>
      <c r="C658" s="64"/>
      <c r="D658" s="64"/>
      <c r="E658" s="64"/>
      <c r="F658" s="64"/>
      <c r="G658" s="65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</row>
    <row r="659">
      <c r="A659" s="64"/>
      <c r="B659" s="64"/>
      <c r="C659" s="64"/>
      <c r="D659" s="64"/>
      <c r="E659" s="64"/>
      <c r="F659" s="64"/>
      <c r="G659" s="65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</row>
    <row r="660">
      <c r="A660" s="64"/>
      <c r="B660" s="64"/>
      <c r="C660" s="64"/>
      <c r="D660" s="64"/>
      <c r="E660" s="64"/>
      <c r="F660" s="64"/>
      <c r="G660" s="65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</row>
    <row r="661">
      <c r="A661" s="64"/>
      <c r="B661" s="64"/>
      <c r="C661" s="64"/>
      <c r="D661" s="64"/>
      <c r="E661" s="64"/>
      <c r="F661" s="64"/>
      <c r="G661" s="65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</row>
    <row r="662">
      <c r="A662" s="64"/>
      <c r="B662" s="64"/>
      <c r="C662" s="64"/>
      <c r="D662" s="64"/>
      <c r="E662" s="64"/>
      <c r="F662" s="64"/>
      <c r="G662" s="65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</row>
    <row r="663">
      <c r="A663" s="64"/>
      <c r="B663" s="64"/>
      <c r="C663" s="64"/>
      <c r="D663" s="64"/>
      <c r="E663" s="64"/>
      <c r="F663" s="64"/>
      <c r="G663" s="65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</row>
    <row r="664">
      <c r="A664" s="64"/>
      <c r="B664" s="64"/>
      <c r="C664" s="64"/>
      <c r="D664" s="64"/>
      <c r="E664" s="64"/>
      <c r="F664" s="64"/>
      <c r="G664" s="65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</row>
    <row r="665">
      <c r="A665" s="64"/>
      <c r="B665" s="64"/>
      <c r="C665" s="64"/>
      <c r="D665" s="64"/>
      <c r="E665" s="64"/>
      <c r="F665" s="64"/>
      <c r="G665" s="65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</row>
    <row r="666">
      <c r="A666" s="64"/>
      <c r="B666" s="64"/>
      <c r="C666" s="64"/>
      <c r="D666" s="64"/>
      <c r="E666" s="64"/>
      <c r="F666" s="64"/>
      <c r="G666" s="65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</row>
    <row r="667">
      <c r="A667" s="64"/>
      <c r="B667" s="64"/>
      <c r="C667" s="64"/>
      <c r="D667" s="64"/>
      <c r="E667" s="64"/>
      <c r="F667" s="64"/>
      <c r="G667" s="65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</row>
    <row r="668">
      <c r="A668" s="64"/>
      <c r="B668" s="64"/>
      <c r="C668" s="64"/>
      <c r="D668" s="64"/>
      <c r="E668" s="64"/>
      <c r="F668" s="64"/>
      <c r="G668" s="65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</row>
    <row r="669">
      <c r="A669" s="64"/>
      <c r="B669" s="64"/>
      <c r="C669" s="64"/>
      <c r="D669" s="64"/>
      <c r="E669" s="64"/>
      <c r="F669" s="64"/>
      <c r="G669" s="65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</row>
    <row r="670">
      <c r="A670" s="64"/>
      <c r="B670" s="64"/>
      <c r="C670" s="64"/>
      <c r="D670" s="64"/>
      <c r="E670" s="64"/>
      <c r="F670" s="64"/>
      <c r="G670" s="65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</row>
    <row r="671">
      <c r="A671" s="64"/>
      <c r="B671" s="64"/>
      <c r="C671" s="64"/>
      <c r="D671" s="64"/>
      <c r="E671" s="64"/>
      <c r="F671" s="64"/>
      <c r="G671" s="65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</row>
    <row r="672">
      <c r="A672" s="64"/>
      <c r="B672" s="64"/>
      <c r="C672" s="64"/>
      <c r="D672" s="64"/>
      <c r="E672" s="64"/>
      <c r="F672" s="64"/>
      <c r="G672" s="65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</row>
    <row r="673">
      <c r="A673" s="64"/>
      <c r="B673" s="64"/>
      <c r="C673" s="64"/>
      <c r="D673" s="64"/>
      <c r="E673" s="64"/>
      <c r="F673" s="64"/>
      <c r="G673" s="65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</row>
    <row r="674">
      <c r="A674" s="64"/>
      <c r="B674" s="64"/>
      <c r="C674" s="64"/>
      <c r="D674" s="64"/>
      <c r="E674" s="64"/>
      <c r="F674" s="64"/>
      <c r="G674" s="65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</row>
    <row r="675">
      <c r="A675" s="64"/>
      <c r="B675" s="64"/>
      <c r="C675" s="64"/>
      <c r="D675" s="64"/>
      <c r="E675" s="64"/>
      <c r="F675" s="64"/>
      <c r="G675" s="65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</row>
    <row r="676">
      <c r="A676" s="64"/>
      <c r="B676" s="64"/>
      <c r="C676" s="64"/>
      <c r="D676" s="64"/>
      <c r="E676" s="64"/>
      <c r="F676" s="64"/>
      <c r="G676" s="65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</row>
    <row r="677">
      <c r="A677" s="64"/>
      <c r="B677" s="64"/>
      <c r="C677" s="64"/>
      <c r="D677" s="64"/>
      <c r="E677" s="64"/>
      <c r="F677" s="64"/>
      <c r="G677" s="65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</row>
    <row r="678">
      <c r="A678" s="64"/>
      <c r="B678" s="64"/>
      <c r="C678" s="64"/>
      <c r="D678" s="64"/>
      <c r="E678" s="64"/>
      <c r="F678" s="64"/>
      <c r="G678" s="65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</row>
    <row r="679">
      <c r="A679" s="64"/>
      <c r="B679" s="64"/>
      <c r="C679" s="64"/>
      <c r="D679" s="64"/>
      <c r="E679" s="64"/>
      <c r="F679" s="64"/>
      <c r="G679" s="65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</row>
    <row r="680">
      <c r="A680" s="64"/>
      <c r="B680" s="64"/>
      <c r="C680" s="64"/>
      <c r="D680" s="64"/>
      <c r="E680" s="64"/>
      <c r="F680" s="64"/>
      <c r="G680" s="65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</row>
    <row r="681">
      <c r="A681" s="64"/>
      <c r="B681" s="64"/>
      <c r="C681" s="64"/>
      <c r="D681" s="64"/>
      <c r="E681" s="64"/>
      <c r="F681" s="64"/>
      <c r="G681" s="65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</row>
    <row r="682">
      <c r="A682" s="64"/>
      <c r="B682" s="64"/>
      <c r="C682" s="64"/>
      <c r="D682" s="64"/>
      <c r="E682" s="64"/>
      <c r="F682" s="64"/>
      <c r="G682" s="65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</row>
    <row r="683">
      <c r="A683" s="64"/>
      <c r="B683" s="64"/>
      <c r="C683" s="64"/>
      <c r="D683" s="64"/>
      <c r="E683" s="64"/>
      <c r="F683" s="64"/>
      <c r="G683" s="65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</row>
    <row r="684">
      <c r="A684" s="64"/>
      <c r="B684" s="64"/>
      <c r="C684" s="64"/>
      <c r="D684" s="64"/>
      <c r="E684" s="64"/>
      <c r="F684" s="64"/>
      <c r="G684" s="65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</row>
    <row r="685">
      <c r="A685" s="64"/>
      <c r="B685" s="64"/>
      <c r="C685" s="64"/>
      <c r="D685" s="64"/>
      <c r="E685" s="64"/>
      <c r="F685" s="64"/>
      <c r="G685" s="65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</row>
    <row r="686">
      <c r="A686" s="64"/>
      <c r="B686" s="64"/>
      <c r="C686" s="64"/>
      <c r="D686" s="64"/>
      <c r="E686" s="64"/>
      <c r="F686" s="64"/>
      <c r="G686" s="65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</row>
    <row r="687">
      <c r="A687" s="64"/>
      <c r="B687" s="64"/>
      <c r="C687" s="64"/>
      <c r="D687" s="64"/>
      <c r="E687" s="64"/>
      <c r="F687" s="64"/>
      <c r="G687" s="65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</row>
    <row r="688">
      <c r="A688" s="64"/>
      <c r="B688" s="64"/>
      <c r="C688" s="64"/>
      <c r="D688" s="64"/>
      <c r="E688" s="64"/>
      <c r="F688" s="64"/>
      <c r="G688" s="65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</row>
    <row r="689">
      <c r="A689" s="64"/>
      <c r="B689" s="64"/>
      <c r="C689" s="64"/>
      <c r="D689" s="64"/>
      <c r="E689" s="64"/>
      <c r="F689" s="64"/>
      <c r="G689" s="65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</row>
    <row r="690">
      <c r="A690" s="64"/>
      <c r="B690" s="64"/>
      <c r="C690" s="64"/>
      <c r="D690" s="64"/>
      <c r="E690" s="64"/>
      <c r="F690" s="64"/>
      <c r="G690" s="65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</row>
    <row r="691">
      <c r="A691" s="64"/>
      <c r="B691" s="64"/>
      <c r="C691" s="64"/>
      <c r="D691" s="64"/>
      <c r="E691" s="64"/>
      <c r="F691" s="64"/>
      <c r="G691" s="65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</row>
    <row r="692">
      <c r="A692" s="64"/>
      <c r="B692" s="64"/>
      <c r="C692" s="64"/>
      <c r="D692" s="64"/>
      <c r="E692" s="64"/>
      <c r="F692" s="64"/>
      <c r="G692" s="65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</row>
    <row r="693">
      <c r="A693" s="64"/>
      <c r="B693" s="64"/>
      <c r="C693" s="64"/>
      <c r="D693" s="64"/>
      <c r="E693" s="64"/>
      <c r="F693" s="64"/>
      <c r="G693" s="65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</row>
    <row r="694">
      <c r="A694" s="64"/>
      <c r="B694" s="64"/>
      <c r="C694" s="64"/>
      <c r="D694" s="64"/>
      <c r="E694" s="64"/>
      <c r="F694" s="64"/>
      <c r="G694" s="65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</row>
    <row r="695">
      <c r="A695" s="64"/>
      <c r="B695" s="64"/>
      <c r="C695" s="64"/>
      <c r="D695" s="64"/>
      <c r="E695" s="64"/>
      <c r="F695" s="64"/>
      <c r="G695" s="65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</row>
    <row r="696">
      <c r="A696" s="64"/>
      <c r="B696" s="64"/>
      <c r="C696" s="64"/>
      <c r="D696" s="64"/>
      <c r="E696" s="64"/>
      <c r="F696" s="64"/>
      <c r="G696" s="65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</row>
    <row r="697">
      <c r="A697" s="64"/>
      <c r="B697" s="64"/>
      <c r="C697" s="64"/>
      <c r="D697" s="64"/>
      <c r="E697" s="64"/>
      <c r="F697" s="64"/>
      <c r="G697" s="65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</row>
    <row r="698">
      <c r="A698" s="64"/>
      <c r="B698" s="64"/>
      <c r="C698" s="64"/>
      <c r="D698" s="64"/>
      <c r="E698" s="64"/>
      <c r="F698" s="64"/>
      <c r="G698" s="65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</row>
    <row r="699">
      <c r="A699" s="64"/>
      <c r="B699" s="64"/>
      <c r="C699" s="64"/>
      <c r="D699" s="64"/>
      <c r="E699" s="64"/>
      <c r="F699" s="64"/>
      <c r="G699" s="65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</row>
    <row r="700">
      <c r="A700" s="64"/>
      <c r="B700" s="64"/>
      <c r="C700" s="64"/>
      <c r="D700" s="64"/>
      <c r="E700" s="64"/>
      <c r="F700" s="64"/>
      <c r="G700" s="65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</row>
    <row r="701">
      <c r="A701" s="64"/>
      <c r="B701" s="64"/>
      <c r="C701" s="64"/>
      <c r="D701" s="64"/>
      <c r="E701" s="64"/>
      <c r="F701" s="64"/>
      <c r="G701" s="65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</row>
    <row r="702">
      <c r="A702" s="64"/>
      <c r="B702" s="64"/>
      <c r="C702" s="64"/>
      <c r="D702" s="64"/>
      <c r="E702" s="64"/>
      <c r="F702" s="64"/>
      <c r="G702" s="65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</row>
    <row r="703">
      <c r="A703" s="64"/>
      <c r="B703" s="64"/>
      <c r="C703" s="64"/>
      <c r="D703" s="64"/>
      <c r="E703" s="64"/>
      <c r="F703" s="64"/>
      <c r="G703" s="65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</row>
    <row r="704">
      <c r="A704" s="64"/>
      <c r="B704" s="64"/>
      <c r="C704" s="64"/>
      <c r="D704" s="64"/>
      <c r="E704" s="64"/>
      <c r="F704" s="64"/>
      <c r="G704" s="65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</row>
    <row r="705">
      <c r="A705" s="64"/>
      <c r="B705" s="64"/>
      <c r="C705" s="64"/>
      <c r="D705" s="64"/>
      <c r="E705" s="64"/>
      <c r="F705" s="64"/>
      <c r="G705" s="65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</row>
    <row r="706">
      <c r="A706" s="64"/>
      <c r="B706" s="64"/>
      <c r="C706" s="64"/>
      <c r="D706" s="64"/>
      <c r="E706" s="64"/>
      <c r="F706" s="64"/>
      <c r="G706" s="65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</row>
    <row r="707">
      <c r="A707" s="64"/>
      <c r="B707" s="64"/>
      <c r="C707" s="64"/>
      <c r="D707" s="64"/>
      <c r="E707" s="64"/>
      <c r="F707" s="64"/>
      <c r="G707" s="65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</row>
    <row r="708">
      <c r="A708" s="64"/>
      <c r="B708" s="64"/>
      <c r="C708" s="64"/>
      <c r="D708" s="64"/>
      <c r="E708" s="64"/>
      <c r="F708" s="64"/>
      <c r="G708" s="65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</row>
    <row r="709">
      <c r="A709" s="64"/>
      <c r="B709" s="64"/>
      <c r="C709" s="64"/>
      <c r="D709" s="64"/>
      <c r="E709" s="64"/>
      <c r="F709" s="64"/>
      <c r="G709" s="65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</row>
    <row r="710">
      <c r="A710" s="64"/>
      <c r="B710" s="64"/>
      <c r="C710" s="64"/>
      <c r="D710" s="64"/>
      <c r="E710" s="64"/>
      <c r="F710" s="64"/>
      <c r="G710" s="65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</row>
    <row r="711">
      <c r="A711" s="64"/>
      <c r="B711" s="64"/>
      <c r="C711" s="64"/>
      <c r="D711" s="64"/>
      <c r="E711" s="64"/>
      <c r="F711" s="64"/>
      <c r="G711" s="65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</row>
    <row r="712">
      <c r="A712" s="64"/>
      <c r="B712" s="64"/>
      <c r="C712" s="64"/>
      <c r="D712" s="64"/>
      <c r="E712" s="64"/>
      <c r="F712" s="64"/>
      <c r="G712" s="65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</row>
    <row r="713">
      <c r="A713" s="64"/>
      <c r="B713" s="64"/>
      <c r="C713" s="64"/>
      <c r="D713" s="64"/>
      <c r="E713" s="64"/>
      <c r="F713" s="64"/>
      <c r="G713" s="65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</row>
    <row r="714">
      <c r="A714" s="64"/>
      <c r="B714" s="64"/>
      <c r="C714" s="64"/>
      <c r="D714" s="64"/>
      <c r="E714" s="64"/>
      <c r="F714" s="64"/>
      <c r="G714" s="65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</row>
    <row r="715">
      <c r="A715" s="64"/>
      <c r="B715" s="64"/>
      <c r="C715" s="64"/>
      <c r="D715" s="64"/>
      <c r="E715" s="64"/>
      <c r="F715" s="64"/>
      <c r="G715" s="65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</row>
    <row r="716">
      <c r="A716" s="64"/>
      <c r="B716" s="64"/>
      <c r="C716" s="64"/>
      <c r="D716" s="64"/>
      <c r="E716" s="64"/>
      <c r="F716" s="64"/>
      <c r="G716" s="65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</row>
    <row r="717">
      <c r="A717" s="64"/>
      <c r="B717" s="64"/>
      <c r="C717" s="64"/>
      <c r="D717" s="64"/>
      <c r="E717" s="64"/>
      <c r="F717" s="64"/>
      <c r="G717" s="65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</row>
    <row r="718">
      <c r="A718" s="64"/>
      <c r="B718" s="64"/>
      <c r="C718" s="64"/>
      <c r="D718" s="64"/>
      <c r="E718" s="64"/>
      <c r="F718" s="64"/>
      <c r="G718" s="65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</row>
    <row r="719">
      <c r="A719" s="64"/>
      <c r="B719" s="64"/>
      <c r="C719" s="64"/>
      <c r="D719" s="64"/>
      <c r="E719" s="64"/>
      <c r="F719" s="64"/>
      <c r="G719" s="65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</row>
    <row r="720">
      <c r="A720" s="64"/>
      <c r="B720" s="64"/>
      <c r="C720" s="64"/>
      <c r="D720" s="64"/>
      <c r="E720" s="64"/>
      <c r="F720" s="64"/>
      <c r="G720" s="65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</row>
    <row r="721">
      <c r="A721" s="64"/>
      <c r="B721" s="64"/>
      <c r="C721" s="64"/>
      <c r="D721" s="64"/>
      <c r="E721" s="64"/>
      <c r="F721" s="64"/>
      <c r="G721" s="65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</row>
    <row r="722">
      <c r="A722" s="64"/>
      <c r="B722" s="64"/>
      <c r="C722" s="64"/>
      <c r="D722" s="64"/>
      <c r="E722" s="64"/>
      <c r="F722" s="64"/>
      <c r="G722" s="65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</row>
    <row r="723">
      <c r="A723" s="64"/>
      <c r="B723" s="64"/>
      <c r="C723" s="64"/>
      <c r="D723" s="64"/>
      <c r="E723" s="64"/>
      <c r="F723" s="64"/>
      <c r="G723" s="65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</row>
    <row r="724">
      <c r="A724" s="64"/>
      <c r="B724" s="64"/>
      <c r="C724" s="64"/>
      <c r="D724" s="64"/>
      <c r="E724" s="64"/>
      <c r="F724" s="64"/>
      <c r="G724" s="65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</row>
    <row r="725">
      <c r="A725" s="64"/>
      <c r="B725" s="64"/>
      <c r="C725" s="64"/>
      <c r="D725" s="64"/>
      <c r="E725" s="64"/>
      <c r="F725" s="64"/>
      <c r="G725" s="65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</row>
    <row r="726">
      <c r="A726" s="64"/>
      <c r="B726" s="64"/>
      <c r="C726" s="64"/>
      <c r="D726" s="64"/>
      <c r="E726" s="64"/>
      <c r="F726" s="64"/>
      <c r="G726" s="65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</row>
    <row r="727">
      <c r="A727" s="64"/>
      <c r="B727" s="64"/>
      <c r="C727" s="64"/>
      <c r="D727" s="64"/>
      <c r="E727" s="64"/>
      <c r="F727" s="64"/>
      <c r="G727" s="65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</row>
    <row r="728">
      <c r="A728" s="64"/>
      <c r="B728" s="64"/>
      <c r="C728" s="64"/>
      <c r="D728" s="64"/>
      <c r="E728" s="64"/>
      <c r="F728" s="64"/>
      <c r="G728" s="65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</row>
    <row r="729">
      <c r="A729" s="64"/>
      <c r="B729" s="64"/>
      <c r="C729" s="64"/>
      <c r="D729" s="64"/>
      <c r="E729" s="64"/>
      <c r="F729" s="64"/>
      <c r="G729" s="65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</row>
    <row r="730">
      <c r="A730" s="64"/>
      <c r="B730" s="64"/>
      <c r="C730" s="64"/>
      <c r="D730" s="64"/>
      <c r="E730" s="64"/>
      <c r="F730" s="64"/>
      <c r="G730" s="65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</row>
    <row r="731">
      <c r="A731" s="64"/>
      <c r="B731" s="64"/>
      <c r="C731" s="64"/>
      <c r="D731" s="64"/>
      <c r="E731" s="64"/>
      <c r="F731" s="64"/>
      <c r="G731" s="65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</row>
    <row r="732">
      <c r="A732" s="64"/>
      <c r="B732" s="64"/>
      <c r="C732" s="64"/>
      <c r="D732" s="64"/>
      <c r="E732" s="64"/>
      <c r="F732" s="64"/>
      <c r="G732" s="65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</row>
    <row r="733">
      <c r="A733" s="64"/>
      <c r="B733" s="64"/>
      <c r="C733" s="64"/>
      <c r="D733" s="64"/>
      <c r="E733" s="64"/>
      <c r="F733" s="64"/>
      <c r="G733" s="65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</row>
    <row r="734">
      <c r="A734" s="64"/>
      <c r="B734" s="64"/>
      <c r="C734" s="64"/>
      <c r="D734" s="64"/>
      <c r="E734" s="64"/>
      <c r="F734" s="64"/>
      <c r="G734" s="65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</row>
    <row r="735">
      <c r="A735" s="64"/>
      <c r="B735" s="64"/>
      <c r="C735" s="64"/>
      <c r="D735" s="64"/>
      <c r="E735" s="64"/>
      <c r="F735" s="64"/>
      <c r="G735" s="65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</row>
    <row r="736">
      <c r="A736" s="64"/>
      <c r="B736" s="64"/>
      <c r="C736" s="64"/>
      <c r="D736" s="64"/>
      <c r="E736" s="64"/>
      <c r="F736" s="64"/>
      <c r="G736" s="65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</row>
    <row r="737">
      <c r="A737" s="64"/>
      <c r="B737" s="64"/>
      <c r="C737" s="64"/>
      <c r="D737" s="64"/>
      <c r="E737" s="64"/>
      <c r="F737" s="64"/>
      <c r="G737" s="65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</row>
    <row r="738">
      <c r="A738" s="64"/>
      <c r="B738" s="64"/>
      <c r="C738" s="64"/>
      <c r="D738" s="64"/>
      <c r="E738" s="64"/>
      <c r="F738" s="64"/>
      <c r="G738" s="65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</row>
    <row r="739">
      <c r="A739" s="64"/>
      <c r="B739" s="64"/>
      <c r="C739" s="64"/>
      <c r="D739" s="64"/>
      <c r="E739" s="64"/>
      <c r="F739" s="64"/>
      <c r="G739" s="65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</row>
    <row r="740">
      <c r="A740" s="64"/>
      <c r="B740" s="64"/>
      <c r="C740" s="64"/>
      <c r="D740" s="64"/>
      <c r="E740" s="64"/>
      <c r="F740" s="64"/>
      <c r="G740" s="65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</row>
    <row r="741">
      <c r="A741" s="64"/>
      <c r="B741" s="64"/>
      <c r="C741" s="64"/>
      <c r="D741" s="64"/>
      <c r="E741" s="64"/>
      <c r="F741" s="64"/>
      <c r="G741" s="65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</row>
    <row r="742">
      <c r="A742" s="64"/>
      <c r="B742" s="64"/>
      <c r="C742" s="64"/>
      <c r="D742" s="64"/>
      <c r="E742" s="64"/>
      <c r="F742" s="64"/>
      <c r="G742" s="65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</row>
    <row r="743">
      <c r="A743" s="64"/>
      <c r="B743" s="64"/>
      <c r="C743" s="64"/>
      <c r="D743" s="64"/>
      <c r="E743" s="64"/>
      <c r="F743" s="64"/>
      <c r="G743" s="65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</row>
    <row r="744">
      <c r="A744" s="64"/>
      <c r="B744" s="64"/>
      <c r="C744" s="64"/>
      <c r="D744" s="64"/>
      <c r="E744" s="64"/>
      <c r="F744" s="64"/>
      <c r="G744" s="65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</row>
    <row r="745">
      <c r="A745" s="64"/>
      <c r="B745" s="64"/>
      <c r="C745" s="64"/>
      <c r="D745" s="64"/>
      <c r="E745" s="64"/>
      <c r="F745" s="64"/>
      <c r="G745" s="65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</row>
    <row r="746">
      <c r="A746" s="64"/>
      <c r="B746" s="64"/>
      <c r="C746" s="64"/>
      <c r="D746" s="64"/>
      <c r="E746" s="64"/>
      <c r="F746" s="64"/>
      <c r="G746" s="65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</row>
    <row r="747">
      <c r="A747" s="64"/>
      <c r="B747" s="64"/>
      <c r="C747" s="64"/>
      <c r="D747" s="64"/>
      <c r="E747" s="64"/>
      <c r="F747" s="64"/>
      <c r="G747" s="65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</row>
    <row r="748">
      <c r="A748" s="64"/>
      <c r="B748" s="64"/>
      <c r="C748" s="64"/>
      <c r="D748" s="64"/>
      <c r="E748" s="64"/>
      <c r="F748" s="64"/>
      <c r="G748" s="65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</row>
    <row r="749">
      <c r="A749" s="64"/>
      <c r="B749" s="64"/>
      <c r="C749" s="64"/>
      <c r="D749" s="64"/>
      <c r="E749" s="64"/>
      <c r="F749" s="64"/>
      <c r="G749" s="65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</row>
    <row r="750">
      <c r="A750" s="64"/>
      <c r="B750" s="64"/>
      <c r="C750" s="64"/>
      <c r="D750" s="64"/>
      <c r="E750" s="64"/>
      <c r="F750" s="64"/>
      <c r="G750" s="65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</row>
    <row r="751">
      <c r="A751" s="64"/>
      <c r="B751" s="64"/>
      <c r="C751" s="64"/>
      <c r="D751" s="64"/>
      <c r="E751" s="64"/>
      <c r="F751" s="64"/>
      <c r="G751" s="65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</row>
    <row r="752">
      <c r="A752" s="64"/>
      <c r="B752" s="64"/>
      <c r="C752" s="64"/>
      <c r="D752" s="64"/>
      <c r="E752" s="64"/>
      <c r="F752" s="64"/>
      <c r="G752" s="65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</row>
    <row r="753">
      <c r="A753" s="64"/>
      <c r="B753" s="64"/>
      <c r="C753" s="64"/>
      <c r="D753" s="64"/>
      <c r="E753" s="64"/>
      <c r="F753" s="64"/>
      <c r="G753" s="65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</row>
    <row r="754">
      <c r="A754" s="64"/>
      <c r="B754" s="64"/>
      <c r="C754" s="64"/>
      <c r="D754" s="64"/>
      <c r="E754" s="64"/>
      <c r="F754" s="64"/>
      <c r="G754" s="65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</row>
    <row r="755">
      <c r="A755" s="64"/>
      <c r="B755" s="64"/>
      <c r="C755" s="64"/>
      <c r="D755" s="64"/>
      <c r="E755" s="64"/>
      <c r="F755" s="64"/>
      <c r="G755" s="65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</row>
    <row r="756">
      <c r="A756" s="64"/>
      <c r="B756" s="64"/>
      <c r="C756" s="64"/>
      <c r="D756" s="64"/>
      <c r="E756" s="64"/>
      <c r="F756" s="64"/>
      <c r="G756" s="65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</row>
    <row r="757">
      <c r="A757" s="64"/>
      <c r="B757" s="64"/>
      <c r="C757" s="64"/>
      <c r="D757" s="64"/>
      <c r="E757" s="64"/>
      <c r="F757" s="64"/>
      <c r="G757" s="65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</row>
    <row r="758">
      <c r="A758" s="64"/>
      <c r="B758" s="64"/>
      <c r="C758" s="64"/>
      <c r="D758" s="64"/>
      <c r="E758" s="64"/>
      <c r="F758" s="64"/>
      <c r="G758" s="65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</row>
    <row r="759">
      <c r="A759" s="64"/>
      <c r="B759" s="64"/>
      <c r="C759" s="64"/>
      <c r="D759" s="64"/>
      <c r="E759" s="64"/>
      <c r="F759" s="64"/>
      <c r="G759" s="65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</row>
    <row r="760">
      <c r="A760" s="64"/>
      <c r="B760" s="64"/>
      <c r="C760" s="64"/>
      <c r="D760" s="64"/>
      <c r="E760" s="64"/>
      <c r="F760" s="64"/>
      <c r="G760" s="65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</row>
    <row r="761">
      <c r="A761" s="64"/>
      <c r="B761" s="64"/>
      <c r="C761" s="64"/>
      <c r="D761" s="64"/>
      <c r="E761" s="64"/>
      <c r="F761" s="64"/>
      <c r="G761" s="65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</row>
    <row r="762">
      <c r="A762" s="64"/>
      <c r="B762" s="64"/>
      <c r="C762" s="64"/>
      <c r="D762" s="64"/>
      <c r="E762" s="64"/>
      <c r="F762" s="64"/>
      <c r="G762" s="65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</row>
    <row r="763">
      <c r="A763" s="64"/>
      <c r="B763" s="64"/>
      <c r="C763" s="64"/>
      <c r="D763" s="64"/>
      <c r="E763" s="64"/>
      <c r="F763" s="64"/>
      <c r="G763" s="65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</row>
    <row r="764">
      <c r="A764" s="64"/>
      <c r="B764" s="64"/>
      <c r="C764" s="64"/>
      <c r="D764" s="64"/>
      <c r="E764" s="64"/>
      <c r="F764" s="64"/>
      <c r="G764" s="65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</row>
    <row r="765">
      <c r="A765" s="64"/>
      <c r="B765" s="64"/>
      <c r="C765" s="64"/>
      <c r="D765" s="64"/>
      <c r="E765" s="64"/>
      <c r="F765" s="64"/>
      <c r="G765" s="65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</row>
    <row r="766">
      <c r="A766" s="64"/>
      <c r="B766" s="64"/>
      <c r="C766" s="64"/>
      <c r="D766" s="64"/>
      <c r="E766" s="64"/>
      <c r="F766" s="64"/>
      <c r="G766" s="65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</row>
    <row r="767">
      <c r="A767" s="64"/>
      <c r="B767" s="64"/>
      <c r="C767" s="64"/>
      <c r="D767" s="64"/>
      <c r="E767" s="64"/>
      <c r="F767" s="64"/>
      <c r="G767" s="65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</row>
    <row r="768">
      <c r="A768" s="64"/>
      <c r="B768" s="64"/>
      <c r="C768" s="64"/>
      <c r="D768" s="64"/>
      <c r="E768" s="64"/>
      <c r="F768" s="64"/>
      <c r="G768" s="65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</row>
    <row r="769">
      <c r="A769" s="64"/>
      <c r="B769" s="64"/>
      <c r="C769" s="64"/>
      <c r="D769" s="64"/>
      <c r="E769" s="64"/>
      <c r="F769" s="64"/>
      <c r="G769" s="65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</row>
    <row r="770">
      <c r="A770" s="64"/>
      <c r="B770" s="64"/>
      <c r="C770" s="64"/>
      <c r="D770" s="64"/>
      <c r="E770" s="64"/>
      <c r="F770" s="64"/>
      <c r="G770" s="65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</row>
    <row r="771">
      <c r="A771" s="64"/>
      <c r="B771" s="64"/>
      <c r="C771" s="64"/>
      <c r="D771" s="64"/>
      <c r="E771" s="64"/>
      <c r="F771" s="64"/>
      <c r="G771" s="65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</row>
    <row r="772">
      <c r="A772" s="64"/>
      <c r="B772" s="64"/>
      <c r="C772" s="64"/>
      <c r="D772" s="64"/>
      <c r="E772" s="64"/>
      <c r="F772" s="64"/>
      <c r="G772" s="65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</row>
    <row r="773">
      <c r="A773" s="64"/>
      <c r="B773" s="64"/>
      <c r="C773" s="64"/>
      <c r="D773" s="64"/>
      <c r="E773" s="64"/>
      <c r="F773" s="64"/>
      <c r="G773" s="65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</row>
    <row r="774">
      <c r="A774" s="64"/>
      <c r="B774" s="64"/>
      <c r="C774" s="64"/>
      <c r="D774" s="64"/>
      <c r="E774" s="64"/>
      <c r="F774" s="64"/>
      <c r="G774" s="65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</row>
    <row r="775">
      <c r="A775" s="64"/>
      <c r="B775" s="64"/>
      <c r="C775" s="64"/>
      <c r="D775" s="64"/>
      <c r="E775" s="64"/>
      <c r="F775" s="64"/>
      <c r="G775" s="65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</row>
    <row r="776">
      <c r="A776" s="64"/>
      <c r="B776" s="64"/>
      <c r="C776" s="64"/>
      <c r="D776" s="64"/>
      <c r="E776" s="64"/>
      <c r="F776" s="64"/>
      <c r="G776" s="65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</row>
    <row r="777">
      <c r="A777" s="64"/>
      <c r="B777" s="64"/>
      <c r="C777" s="64"/>
      <c r="D777" s="64"/>
      <c r="E777" s="64"/>
      <c r="F777" s="64"/>
      <c r="G777" s="65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</row>
    <row r="778">
      <c r="A778" s="64"/>
      <c r="B778" s="64"/>
      <c r="C778" s="64"/>
      <c r="D778" s="64"/>
      <c r="E778" s="64"/>
      <c r="F778" s="64"/>
      <c r="G778" s="65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</row>
    <row r="779">
      <c r="A779" s="64"/>
      <c r="B779" s="64"/>
      <c r="C779" s="64"/>
      <c r="D779" s="64"/>
      <c r="E779" s="64"/>
      <c r="F779" s="64"/>
      <c r="G779" s="65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</row>
    <row r="780">
      <c r="A780" s="64"/>
      <c r="B780" s="64"/>
      <c r="C780" s="64"/>
      <c r="D780" s="64"/>
      <c r="E780" s="64"/>
      <c r="F780" s="64"/>
      <c r="G780" s="65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</row>
    <row r="781">
      <c r="A781" s="64"/>
      <c r="B781" s="64"/>
      <c r="C781" s="64"/>
      <c r="D781" s="64"/>
      <c r="E781" s="64"/>
      <c r="F781" s="64"/>
      <c r="G781" s="65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</row>
    <row r="782">
      <c r="A782" s="64"/>
      <c r="B782" s="64"/>
      <c r="C782" s="64"/>
      <c r="D782" s="64"/>
      <c r="E782" s="64"/>
      <c r="F782" s="64"/>
      <c r="G782" s="65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</row>
    <row r="783">
      <c r="A783" s="64"/>
      <c r="B783" s="64"/>
      <c r="C783" s="64"/>
      <c r="D783" s="64"/>
      <c r="E783" s="64"/>
      <c r="F783" s="64"/>
      <c r="G783" s="65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</row>
    <row r="784">
      <c r="A784" s="64"/>
      <c r="B784" s="64"/>
      <c r="C784" s="64"/>
      <c r="D784" s="64"/>
      <c r="E784" s="64"/>
      <c r="F784" s="64"/>
      <c r="G784" s="65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</row>
    <row r="785">
      <c r="A785" s="64"/>
      <c r="B785" s="64"/>
      <c r="C785" s="64"/>
      <c r="D785" s="64"/>
      <c r="E785" s="64"/>
      <c r="F785" s="64"/>
      <c r="G785" s="65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</row>
    <row r="786">
      <c r="A786" s="64"/>
      <c r="B786" s="64"/>
      <c r="C786" s="64"/>
      <c r="D786" s="64"/>
      <c r="E786" s="64"/>
      <c r="F786" s="64"/>
      <c r="G786" s="65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</row>
    <row r="787">
      <c r="A787" s="64"/>
      <c r="B787" s="64"/>
      <c r="C787" s="64"/>
      <c r="D787" s="64"/>
      <c r="E787" s="64"/>
      <c r="F787" s="64"/>
      <c r="G787" s="65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</row>
    <row r="788">
      <c r="A788" s="64"/>
      <c r="B788" s="64"/>
      <c r="C788" s="64"/>
      <c r="D788" s="64"/>
      <c r="E788" s="64"/>
      <c r="F788" s="64"/>
      <c r="G788" s="65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</row>
    <row r="789">
      <c r="A789" s="64"/>
      <c r="B789" s="64"/>
      <c r="C789" s="64"/>
      <c r="D789" s="64"/>
      <c r="E789" s="64"/>
      <c r="F789" s="64"/>
      <c r="G789" s="65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</row>
    <row r="790">
      <c r="A790" s="64"/>
      <c r="B790" s="64"/>
      <c r="C790" s="64"/>
      <c r="D790" s="64"/>
      <c r="E790" s="64"/>
      <c r="F790" s="64"/>
      <c r="G790" s="65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</row>
    <row r="791">
      <c r="A791" s="64"/>
      <c r="B791" s="64"/>
      <c r="C791" s="64"/>
      <c r="D791" s="64"/>
      <c r="E791" s="64"/>
      <c r="F791" s="64"/>
      <c r="G791" s="65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</row>
    <row r="792">
      <c r="A792" s="64"/>
      <c r="B792" s="64"/>
      <c r="C792" s="64"/>
      <c r="D792" s="64"/>
      <c r="E792" s="64"/>
      <c r="F792" s="64"/>
      <c r="G792" s="65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</row>
    <row r="793">
      <c r="A793" s="64"/>
      <c r="B793" s="64"/>
      <c r="C793" s="64"/>
      <c r="D793" s="64"/>
      <c r="E793" s="64"/>
      <c r="F793" s="64"/>
      <c r="G793" s="65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</row>
    <row r="794">
      <c r="A794" s="64"/>
      <c r="B794" s="64"/>
      <c r="C794" s="64"/>
      <c r="D794" s="64"/>
      <c r="E794" s="64"/>
      <c r="F794" s="64"/>
      <c r="G794" s="65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</row>
    <row r="795">
      <c r="A795" s="64"/>
      <c r="B795" s="64"/>
      <c r="C795" s="64"/>
      <c r="D795" s="64"/>
      <c r="E795" s="64"/>
      <c r="F795" s="64"/>
      <c r="G795" s="65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</row>
    <row r="796">
      <c r="A796" s="64"/>
      <c r="B796" s="64"/>
      <c r="C796" s="64"/>
      <c r="D796" s="64"/>
      <c r="E796" s="64"/>
      <c r="F796" s="64"/>
      <c r="G796" s="65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</row>
    <row r="797">
      <c r="A797" s="64"/>
      <c r="B797" s="64"/>
      <c r="C797" s="64"/>
      <c r="D797" s="64"/>
      <c r="E797" s="64"/>
      <c r="F797" s="64"/>
      <c r="G797" s="65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</row>
    <row r="798">
      <c r="A798" s="64"/>
      <c r="B798" s="64"/>
      <c r="C798" s="64"/>
      <c r="D798" s="64"/>
      <c r="E798" s="64"/>
      <c r="F798" s="64"/>
      <c r="G798" s="65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</row>
    <row r="799">
      <c r="A799" s="64"/>
      <c r="B799" s="64"/>
      <c r="C799" s="64"/>
      <c r="D799" s="64"/>
      <c r="E799" s="64"/>
      <c r="F799" s="64"/>
      <c r="G799" s="65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</row>
    <row r="800">
      <c r="A800" s="64"/>
      <c r="B800" s="64"/>
      <c r="C800" s="64"/>
      <c r="D800" s="64"/>
      <c r="E800" s="64"/>
      <c r="F800" s="64"/>
      <c r="G800" s="65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</row>
    <row r="801">
      <c r="A801" s="64"/>
      <c r="B801" s="64"/>
      <c r="C801" s="64"/>
      <c r="D801" s="64"/>
      <c r="E801" s="64"/>
      <c r="F801" s="64"/>
      <c r="G801" s="65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</row>
    <row r="802">
      <c r="A802" s="64"/>
      <c r="B802" s="64"/>
      <c r="C802" s="64"/>
      <c r="D802" s="64"/>
      <c r="E802" s="64"/>
      <c r="F802" s="64"/>
      <c r="G802" s="65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</row>
    <row r="803">
      <c r="A803" s="64"/>
      <c r="B803" s="64"/>
      <c r="C803" s="64"/>
      <c r="D803" s="64"/>
      <c r="E803" s="64"/>
      <c r="F803" s="64"/>
      <c r="G803" s="65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</row>
    <row r="804">
      <c r="A804" s="64"/>
      <c r="B804" s="64"/>
      <c r="C804" s="64"/>
      <c r="D804" s="64"/>
      <c r="E804" s="64"/>
      <c r="F804" s="64"/>
      <c r="G804" s="65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</row>
    <row r="805">
      <c r="A805" s="64"/>
      <c r="B805" s="64"/>
      <c r="C805" s="64"/>
      <c r="D805" s="64"/>
      <c r="E805" s="64"/>
      <c r="F805" s="64"/>
      <c r="G805" s="65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</row>
    <row r="806">
      <c r="A806" s="64"/>
      <c r="B806" s="64"/>
      <c r="C806" s="64"/>
      <c r="D806" s="64"/>
      <c r="E806" s="64"/>
      <c r="F806" s="64"/>
      <c r="G806" s="65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</row>
    <row r="807">
      <c r="A807" s="64"/>
      <c r="B807" s="64"/>
      <c r="C807" s="64"/>
      <c r="D807" s="64"/>
      <c r="E807" s="64"/>
      <c r="F807" s="64"/>
      <c r="G807" s="65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</row>
    <row r="808">
      <c r="A808" s="64"/>
      <c r="B808" s="64"/>
      <c r="C808" s="64"/>
      <c r="D808" s="64"/>
      <c r="E808" s="64"/>
      <c r="F808" s="64"/>
      <c r="G808" s="65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</row>
    <row r="809">
      <c r="A809" s="64"/>
      <c r="B809" s="64"/>
      <c r="C809" s="64"/>
      <c r="D809" s="64"/>
      <c r="E809" s="64"/>
      <c r="F809" s="64"/>
      <c r="G809" s="65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</row>
    <row r="810">
      <c r="A810" s="64"/>
      <c r="B810" s="64"/>
      <c r="C810" s="64"/>
      <c r="D810" s="64"/>
      <c r="E810" s="64"/>
      <c r="F810" s="64"/>
      <c r="G810" s="65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</row>
    <row r="811">
      <c r="A811" s="64"/>
      <c r="B811" s="64"/>
      <c r="C811" s="64"/>
      <c r="D811" s="64"/>
      <c r="E811" s="64"/>
      <c r="F811" s="64"/>
      <c r="G811" s="65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</row>
    <row r="812">
      <c r="A812" s="64"/>
      <c r="B812" s="64"/>
      <c r="C812" s="64"/>
      <c r="D812" s="64"/>
      <c r="E812" s="64"/>
      <c r="F812" s="64"/>
      <c r="G812" s="65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</row>
    <row r="813">
      <c r="A813" s="64"/>
      <c r="B813" s="64"/>
      <c r="C813" s="64"/>
      <c r="D813" s="64"/>
      <c r="E813" s="64"/>
      <c r="F813" s="64"/>
      <c r="G813" s="65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</row>
    <row r="814">
      <c r="A814" s="64"/>
      <c r="B814" s="64"/>
      <c r="C814" s="64"/>
      <c r="D814" s="64"/>
      <c r="E814" s="64"/>
      <c r="F814" s="64"/>
      <c r="G814" s="65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</row>
    <row r="815">
      <c r="A815" s="64"/>
      <c r="B815" s="64"/>
      <c r="C815" s="64"/>
      <c r="D815" s="64"/>
      <c r="E815" s="64"/>
      <c r="F815" s="64"/>
      <c r="G815" s="65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</row>
    <row r="816">
      <c r="A816" s="64"/>
      <c r="B816" s="64"/>
      <c r="C816" s="64"/>
      <c r="D816" s="64"/>
      <c r="E816" s="64"/>
      <c r="F816" s="64"/>
      <c r="G816" s="65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</row>
    <row r="817">
      <c r="A817" s="64"/>
      <c r="B817" s="64"/>
      <c r="C817" s="64"/>
      <c r="D817" s="64"/>
      <c r="E817" s="64"/>
      <c r="F817" s="64"/>
      <c r="G817" s="65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</row>
    <row r="818">
      <c r="A818" s="64"/>
      <c r="B818" s="64"/>
      <c r="C818" s="64"/>
      <c r="D818" s="64"/>
      <c r="E818" s="64"/>
      <c r="F818" s="64"/>
      <c r="G818" s="65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</row>
    <row r="819">
      <c r="A819" s="64"/>
      <c r="B819" s="64"/>
      <c r="C819" s="64"/>
      <c r="D819" s="64"/>
      <c r="E819" s="64"/>
      <c r="F819" s="64"/>
      <c r="G819" s="65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</row>
    <row r="820">
      <c r="A820" s="64"/>
      <c r="B820" s="64"/>
      <c r="C820" s="64"/>
      <c r="D820" s="64"/>
      <c r="E820" s="64"/>
      <c r="F820" s="64"/>
      <c r="G820" s="65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</row>
    <row r="821">
      <c r="A821" s="64"/>
      <c r="B821" s="64"/>
      <c r="C821" s="64"/>
      <c r="D821" s="64"/>
      <c r="E821" s="64"/>
      <c r="F821" s="64"/>
      <c r="G821" s="65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</row>
    <row r="822">
      <c r="A822" s="64"/>
      <c r="B822" s="64"/>
      <c r="C822" s="64"/>
      <c r="D822" s="64"/>
      <c r="E822" s="64"/>
      <c r="F822" s="64"/>
      <c r="G822" s="65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</row>
    <row r="823">
      <c r="A823" s="64"/>
      <c r="B823" s="64"/>
      <c r="C823" s="64"/>
      <c r="D823" s="64"/>
      <c r="E823" s="64"/>
      <c r="F823" s="64"/>
      <c r="G823" s="65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</row>
    <row r="824">
      <c r="A824" s="64"/>
      <c r="B824" s="64"/>
      <c r="C824" s="64"/>
      <c r="D824" s="64"/>
      <c r="E824" s="64"/>
      <c r="F824" s="64"/>
      <c r="G824" s="65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</row>
    <row r="825">
      <c r="A825" s="64"/>
      <c r="B825" s="64"/>
      <c r="C825" s="64"/>
      <c r="D825" s="64"/>
      <c r="E825" s="64"/>
      <c r="F825" s="64"/>
      <c r="G825" s="65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</row>
    <row r="826">
      <c r="A826" s="64"/>
      <c r="B826" s="64"/>
      <c r="C826" s="64"/>
      <c r="D826" s="64"/>
      <c r="E826" s="64"/>
      <c r="F826" s="64"/>
      <c r="G826" s="65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</row>
    <row r="827">
      <c r="A827" s="64"/>
      <c r="B827" s="64"/>
      <c r="C827" s="64"/>
      <c r="D827" s="64"/>
      <c r="E827" s="64"/>
      <c r="F827" s="64"/>
      <c r="G827" s="65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</row>
    <row r="828">
      <c r="A828" s="64"/>
      <c r="B828" s="64"/>
      <c r="C828" s="64"/>
      <c r="D828" s="64"/>
      <c r="E828" s="64"/>
      <c r="F828" s="64"/>
      <c r="G828" s="65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</row>
    <row r="829">
      <c r="A829" s="64"/>
      <c r="B829" s="64"/>
      <c r="C829" s="64"/>
      <c r="D829" s="64"/>
      <c r="E829" s="64"/>
      <c r="F829" s="64"/>
      <c r="G829" s="65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</row>
    <row r="830">
      <c r="A830" s="64"/>
      <c r="B830" s="64"/>
      <c r="C830" s="64"/>
      <c r="D830" s="64"/>
      <c r="E830" s="64"/>
      <c r="F830" s="64"/>
      <c r="G830" s="65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</row>
    <row r="831">
      <c r="A831" s="64"/>
      <c r="B831" s="64"/>
      <c r="C831" s="64"/>
      <c r="D831" s="64"/>
      <c r="E831" s="64"/>
      <c r="F831" s="64"/>
      <c r="G831" s="65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</row>
    <row r="832">
      <c r="A832" s="64"/>
      <c r="B832" s="64"/>
      <c r="C832" s="64"/>
      <c r="D832" s="64"/>
      <c r="E832" s="64"/>
      <c r="F832" s="64"/>
      <c r="G832" s="65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</row>
    <row r="833">
      <c r="A833" s="64"/>
      <c r="B833" s="64"/>
      <c r="C833" s="64"/>
      <c r="D833" s="64"/>
      <c r="E833" s="64"/>
      <c r="F833" s="64"/>
      <c r="G833" s="65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</row>
    <row r="834">
      <c r="A834" s="64"/>
      <c r="B834" s="64"/>
      <c r="C834" s="64"/>
      <c r="D834" s="64"/>
      <c r="E834" s="64"/>
      <c r="F834" s="64"/>
      <c r="G834" s="65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</row>
    <row r="835">
      <c r="A835" s="64"/>
      <c r="B835" s="64"/>
      <c r="C835" s="64"/>
      <c r="D835" s="64"/>
      <c r="E835" s="64"/>
      <c r="F835" s="64"/>
      <c r="G835" s="65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</row>
    <row r="836">
      <c r="A836" s="64"/>
      <c r="B836" s="64"/>
      <c r="C836" s="64"/>
      <c r="D836" s="64"/>
      <c r="E836" s="64"/>
      <c r="F836" s="64"/>
      <c r="G836" s="65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</row>
    <row r="837">
      <c r="A837" s="64"/>
      <c r="B837" s="64"/>
      <c r="C837" s="64"/>
      <c r="D837" s="64"/>
      <c r="E837" s="64"/>
      <c r="F837" s="64"/>
      <c r="G837" s="65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</row>
    <row r="838">
      <c r="A838" s="64"/>
      <c r="B838" s="64"/>
      <c r="C838" s="64"/>
      <c r="D838" s="64"/>
      <c r="E838" s="64"/>
      <c r="F838" s="64"/>
      <c r="G838" s="65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</row>
    <row r="839">
      <c r="A839" s="64"/>
      <c r="B839" s="64"/>
      <c r="C839" s="64"/>
      <c r="D839" s="64"/>
      <c r="E839" s="64"/>
      <c r="F839" s="64"/>
      <c r="G839" s="65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</row>
    <row r="840">
      <c r="A840" s="64"/>
      <c r="B840" s="64"/>
      <c r="C840" s="64"/>
      <c r="D840" s="64"/>
      <c r="E840" s="64"/>
      <c r="F840" s="64"/>
      <c r="G840" s="65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</row>
    <row r="841">
      <c r="A841" s="64"/>
      <c r="B841" s="64"/>
      <c r="C841" s="64"/>
      <c r="D841" s="64"/>
      <c r="E841" s="64"/>
      <c r="F841" s="64"/>
      <c r="G841" s="65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</row>
    <row r="842">
      <c r="A842" s="64"/>
      <c r="B842" s="64"/>
      <c r="C842" s="64"/>
      <c r="D842" s="64"/>
      <c r="E842" s="64"/>
      <c r="F842" s="64"/>
      <c r="G842" s="65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</row>
    <row r="843">
      <c r="A843" s="64"/>
      <c r="B843" s="64"/>
      <c r="C843" s="64"/>
      <c r="D843" s="64"/>
      <c r="E843" s="64"/>
      <c r="F843" s="64"/>
      <c r="G843" s="65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</row>
    <row r="844">
      <c r="A844" s="64"/>
      <c r="B844" s="64"/>
      <c r="C844" s="64"/>
      <c r="D844" s="64"/>
      <c r="E844" s="64"/>
      <c r="F844" s="64"/>
      <c r="G844" s="65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</row>
    <row r="845">
      <c r="A845" s="64"/>
      <c r="B845" s="64"/>
      <c r="C845" s="64"/>
      <c r="D845" s="64"/>
      <c r="E845" s="64"/>
      <c r="F845" s="64"/>
      <c r="G845" s="65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</row>
    <row r="846">
      <c r="A846" s="64"/>
      <c r="B846" s="64"/>
      <c r="C846" s="64"/>
      <c r="D846" s="64"/>
      <c r="E846" s="64"/>
      <c r="F846" s="64"/>
      <c r="G846" s="65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</row>
    <row r="847">
      <c r="A847" s="64"/>
      <c r="B847" s="64"/>
      <c r="C847" s="64"/>
      <c r="D847" s="64"/>
      <c r="E847" s="64"/>
      <c r="F847" s="64"/>
      <c r="G847" s="65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</row>
    <row r="848">
      <c r="A848" s="64"/>
      <c r="B848" s="64"/>
      <c r="C848" s="64"/>
      <c r="D848" s="64"/>
      <c r="E848" s="64"/>
      <c r="F848" s="64"/>
      <c r="G848" s="65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</row>
    <row r="849">
      <c r="A849" s="64"/>
      <c r="B849" s="64"/>
      <c r="C849" s="64"/>
      <c r="D849" s="64"/>
      <c r="E849" s="64"/>
      <c r="F849" s="64"/>
      <c r="G849" s="65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</row>
    <row r="850">
      <c r="A850" s="64"/>
      <c r="B850" s="64"/>
      <c r="C850" s="64"/>
      <c r="D850" s="64"/>
      <c r="E850" s="64"/>
      <c r="F850" s="64"/>
      <c r="G850" s="65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</row>
    <row r="851">
      <c r="A851" s="64"/>
      <c r="B851" s="64"/>
      <c r="C851" s="64"/>
      <c r="D851" s="64"/>
      <c r="E851" s="64"/>
      <c r="F851" s="64"/>
      <c r="G851" s="65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</row>
    <row r="852">
      <c r="A852" s="64"/>
      <c r="B852" s="64"/>
      <c r="C852" s="64"/>
      <c r="D852" s="64"/>
      <c r="E852" s="64"/>
      <c r="F852" s="64"/>
      <c r="G852" s="65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</row>
    <row r="853">
      <c r="A853" s="64"/>
      <c r="B853" s="64"/>
      <c r="C853" s="64"/>
      <c r="D853" s="64"/>
      <c r="E853" s="64"/>
      <c r="F853" s="64"/>
      <c r="G853" s="65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</row>
    <row r="854">
      <c r="A854" s="64"/>
      <c r="B854" s="64"/>
      <c r="C854" s="64"/>
      <c r="D854" s="64"/>
      <c r="E854" s="64"/>
      <c r="F854" s="64"/>
      <c r="G854" s="65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</row>
    <row r="855">
      <c r="A855" s="64"/>
      <c r="B855" s="64"/>
      <c r="C855" s="64"/>
      <c r="D855" s="64"/>
      <c r="E855" s="64"/>
      <c r="F855" s="64"/>
      <c r="G855" s="65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</row>
    <row r="856">
      <c r="A856" s="64"/>
      <c r="B856" s="64"/>
      <c r="C856" s="64"/>
      <c r="D856" s="64"/>
      <c r="E856" s="64"/>
      <c r="F856" s="64"/>
      <c r="G856" s="65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</row>
    <row r="857">
      <c r="A857" s="64"/>
      <c r="B857" s="64"/>
      <c r="C857" s="64"/>
      <c r="D857" s="64"/>
      <c r="E857" s="64"/>
      <c r="F857" s="64"/>
      <c r="G857" s="65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</row>
    <row r="858">
      <c r="A858" s="64"/>
      <c r="B858" s="64"/>
      <c r="C858" s="64"/>
      <c r="D858" s="64"/>
      <c r="E858" s="64"/>
      <c r="F858" s="64"/>
      <c r="G858" s="65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</row>
    <row r="859">
      <c r="A859" s="64"/>
      <c r="B859" s="64"/>
      <c r="C859" s="64"/>
      <c r="D859" s="64"/>
      <c r="E859" s="64"/>
      <c r="F859" s="64"/>
      <c r="G859" s="65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</row>
    <row r="860">
      <c r="A860" s="64"/>
      <c r="B860" s="64"/>
      <c r="C860" s="64"/>
      <c r="D860" s="64"/>
      <c r="E860" s="64"/>
      <c r="F860" s="64"/>
      <c r="G860" s="65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</row>
    <row r="861">
      <c r="A861" s="64"/>
      <c r="B861" s="64"/>
      <c r="C861" s="64"/>
      <c r="D861" s="64"/>
      <c r="E861" s="64"/>
      <c r="F861" s="64"/>
      <c r="G861" s="65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</row>
    <row r="862">
      <c r="A862" s="64"/>
      <c r="B862" s="64"/>
      <c r="C862" s="64"/>
      <c r="D862" s="64"/>
      <c r="E862" s="64"/>
      <c r="F862" s="64"/>
      <c r="G862" s="65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</row>
    <row r="863">
      <c r="A863" s="64"/>
      <c r="B863" s="64"/>
      <c r="C863" s="64"/>
      <c r="D863" s="64"/>
      <c r="E863" s="64"/>
      <c r="F863" s="64"/>
      <c r="G863" s="65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</row>
    <row r="864">
      <c r="A864" s="64"/>
      <c r="B864" s="64"/>
      <c r="C864" s="64"/>
      <c r="D864" s="64"/>
      <c r="E864" s="64"/>
      <c r="F864" s="64"/>
      <c r="G864" s="65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</row>
    <row r="865">
      <c r="A865" s="64"/>
      <c r="B865" s="64"/>
      <c r="C865" s="64"/>
      <c r="D865" s="64"/>
      <c r="E865" s="64"/>
      <c r="F865" s="64"/>
      <c r="G865" s="65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</row>
    <row r="866">
      <c r="A866" s="64"/>
      <c r="B866" s="64"/>
      <c r="C866" s="64"/>
      <c r="D866" s="64"/>
      <c r="E866" s="64"/>
      <c r="F866" s="64"/>
      <c r="G866" s="65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</row>
    <row r="867">
      <c r="A867" s="64"/>
      <c r="B867" s="64"/>
      <c r="C867" s="64"/>
      <c r="D867" s="64"/>
      <c r="E867" s="64"/>
      <c r="F867" s="64"/>
      <c r="G867" s="65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</row>
    <row r="868">
      <c r="A868" s="64"/>
      <c r="B868" s="64"/>
      <c r="C868" s="64"/>
      <c r="D868" s="64"/>
      <c r="E868" s="64"/>
      <c r="F868" s="64"/>
      <c r="G868" s="65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</row>
    <row r="869">
      <c r="A869" s="64"/>
      <c r="B869" s="64"/>
      <c r="C869" s="64"/>
      <c r="D869" s="64"/>
      <c r="E869" s="64"/>
      <c r="F869" s="64"/>
      <c r="G869" s="65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</row>
    <row r="870">
      <c r="A870" s="64"/>
      <c r="B870" s="64"/>
      <c r="C870" s="64"/>
      <c r="D870" s="64"/>
      <c r="E870" s="64"/>
      <c r="F870" s="64"/>
      <c r="G870" s="65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</row>
    <row r="871">
      <c r="A871" s="64"/>
      <c r="B871" s="64"/>
      <c r="C871" s="64"/>
      <c r="D871" s="64"/>
      <c r="E871" s="64"/>
      <c r="F871" s="64"/>
      <c r="G871" s="65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</row>
    <row r="872">
      <c r="A872" s="64"/>
      <c r="B872" s="64"/>
      <c r="C872" s="64"/>
      <c r="D872" s="64"/>
      <c r="E872" s="64"/>
      <c r="F872" s="64"/>
      <c r="G872" s="65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</row>
    <row r="873">
      <c r="A873" s="64"/>
      <c r="B873" s="64"/>
      <c r="C873" s="64"/>
      <c r="D873" s="64"/>
      <c r="E873" s="64"/>
      <c r="F873" s="64"/>
      <c r="G873" s="65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</row>
    <row r="874">
      <c r="A874" s="64"/>
      <c r="B874" s="64"/>
      <c r="C874" s="64"/>
      <c r="D874" s="64"/>
      <c r="E874" s="64"/>
      <c r="F874" s="64"/>
      <c r="G874" s="65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</row>
    <row r="875">
      <c r="A875" s="64"/>
      <c r="B875" s="64"/>
      <c r="C875" s="64"/>
      <c r="D875" s="64"/>
      <c r="E875" s="64"/>
      <c r="F875" s="64"/>
      <c r="G875" s="65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</row>
    <row r="876">
      <c r="A876" s="64"/>
      <c r="B876" s="64"/>
      <c r="C876" s="64"/>
      <c r="D876" s="64"/>
      <c r="E876" s="64"/>
      <c r="F876" s="64"/>
      <c r="G876" s="65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</row>
    <row r="877">
      <c r="A877" s="64"/>
      <c r="B877" s="64"/>
      <c r="C877" s="64"/>
      <c r="D877" s="64"/>
      <c r="E877" s="64"/>
      <c r="F877" s="64"/>
      <c r="G877" s="65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</row>
    <row r="878">
      <c r="A878" s="64"/>
      <c r="B878" s="64"/>
      <c r="C878" s="64"/>
      <c r="D878" s="64"/>
      <c r="E878" s="64"/>
      <c r="F878" s="64"/>
      <c r="G878" s="65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</row>
    <row r="879">
      <c r="A879" s="64"/>
      <c r="B879" s="64"/>
      <c r="C879" s="64"/>
      <c r="D879" s="64"/>
      <c r="E879" s="64"/>
      <c r="F879" s="64"/>
      <c r="G879" s="65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</row>
    <row r="880">
      <c r="A880" s="64"/>
      <c r="B880" s="64"/>
      <c r="C880" s="64"/>
      <c r="D880" s="64"/>
      <c r="E880" s="64"/>
      <c r="F880" s="64"/>
      <c r="G880" s="65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</row>
    <row r="881">
      <c r="A881" s="64"/>
      <c r="B881" s="64"/>
      <c r="C881" s="64"/>
      <c r="D881" s="64"/>
      <c r="E881" s="64"/>
      <c r="F881" s="64"/>
      <c r="G881" s="65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</row>
    <row r="882">
      <c r="A882" s="64"/>
      <c r="B882" s="64"/>
      <c r="C882" s="64"/>
      <c r="D882" s="64"/>
      <c r="E882" s="64"/>
      <c r="F882" s="64"/>
      <c r="G882" s="65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</row>
    <row r="883">
      <c r="A883" s="64"/>
      <c r="B883" s="64"/>
      <c r="C883" s="64"/>
      <c r="D883" s="64"/>
      <c r="E883" s="64"/>
      <c r="F883" s="64"/>
      <c r="G883" s="65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</row>
    <row r="884">
      <c r="A884" s="64"/>
      <c r="B884" s="64"/>
      <c r="C884" s="64"/>
      <c r="D884" s="64"/>
      <c r="E884" s="64"/>
      <c r="F884" s="64"/>
      <c r="G884" s="65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</row>
    <row r="885">
      <c r="A885" s="64"/>
      <c r="B885" s="64"/>
      <c r="C885" s="64"/>
      <c r="D885" s="64"/>
      <c r="E885" s="64"/>
      <c r="F885" s="64"/>
      <c r="G885" s="65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</row>
    <row r="886">
      <c r="A886" s="64"/>
      <c r="B886" s="64"/>
      <c r="C886" s="64"/>
      <c r="D886" s="64"/>
      <c r="E886" s="64"/>
      <c r="F886" s="64"/>
      <c r="G886" s="65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</row>
    <row r="887">
      <c r="A887" s="64"/>
      <c r="B887" s="64"/>
      <c r="C887" s="64"/>
      <c r="D887" s="64"/>
      <c r="E887" s="64"/>
      <c r="F887" s="64"/>
      <c r="G887" s="65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</row>
    <row r="888">
      <c r="A888" s="64"/>
      <c r="B888" s="64"/>
      <c r="C888" s="64"/>
      <c r="D888" s="64"/>
      <c r="E888" s="64"/>
      <c r="F888" s="64"/>
      <c r="G888" s="65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</row>
    <row r="889">
      <c r="A889" s="64"/>
      <c r="B889" s="64"/>
      <c r="C889" s="64"/>
      <c r="D889" s="64"/>
      <c r="E889" s="64"/>
      <c r="F889" s="64"/>
      <c r="G889" s="65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</row>
    <row r="890">
      <c r="A890" s="64"/>
      <c r="B890" s="64"/>
      <c r="C890" s="64"/>
      <c r="D890" s="64"/>
      <c r="E890" s="64"/>
      <c r="F890" s="64"/>
      <c r="G890" s="65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</row>
    <row r="891">
      <c r="A891" s="64"/>
      <c r="B891" s="64"/>
      <c r="C891" s="64"/>
      <c r="D891" s="64"/>
      <c r="E891" s="64"/>
      <c r="F891" s="64"/>
      <c r="G891" s="65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</row>
    <row r="892">
      <c r="A892" s="64"/>
      <c r="B892" s="64"/>
      <c r="C892" s="64"/>
      <c r="D892" s="64"/>
      <c r="E892" s="64"/>
      <c r="F892" s="64"/>
      <c r="G892" s="65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</row>
    <row r="893">
      <c r="A893" s="64"/>
      <c r="B893" s="64"/>
      <c r="C893" s="64"/>
      <c r="D893" s="64"/>
      <c r="E893" s="64"/>
      <c r="F893" s="64"/>
      <c r="G893" s="65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</row>
    <row r="894">
      <c r="A894" s="64"/>
      <c r="B894" s="64"/>
      <c r="C894" s="64"/>
      <c r="D894" s="64"/>
      <c r="E894" s="64"/>
      <c r="F894" s="64"/>
      <c r="G894" s="65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</row>
    <row r="895">
      <c r="A895" s="64"/>
      <c r="B895" s="64"/>
      <c r="C895" s="64"/>
      <c r="D895" s="64"/>
      <c r="E895" s="64"/>
      <c r="F895" s="64"/>
      <c r="G895" s="65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</row>
    <row r="896">
      <c r="A896" s="64"/>
      <c r="B896" s="64"/>
      <c r="C896" s="64"/>
      <c r="D896" s="64"/>
      <c r="E896" s="64"/>
      <c r="F896" s="64"/>
      <c r="G896" s="65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</row>
    <row r="897">
      <c r="A897" s="64"/>
      <c r="B897" s="64"/>
      <c r="C897" s="64"/>
      <c r="D897" s="64"/>
      <c r="E897" s="64"/>
      <c r="F897" s="64"/>
      <c r="G897" s="65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</row>
    <row r="898">
      <c r="A898" s="64"/>
      <c r="B898" s="64"/>
      <c r="C898" s="64"/>
      <c r="D898" s="64"/>
      <c r="E898" s="64"/>
      <c r="F898" s="64"/>
      <c r="G898" s="65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</row>
    <row r="899">
      <c r="A899" s="64"/>
      <c r="B899" s="64"/>
      <c r="C899" s="64"/>
      <c r="D899" s="64"/>
      <c r="E899" s="64"/>
      <c r="F899" s="64"/>
      <c r="G899" s="65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</row>
    <row r="900">
      <c r="A900" s="64"/>
      <c r="B900" s="64"/>
      <c r="C900" s="64"/>
      <c r="D900" s="64"/>
      <c r="E900" s="64"/>
      <c r="F900" s="64"/>
      <c r="G900" s="65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</row>
    <row r="901">
      <c r="A901" s="64"/>
      <c r="B901" s="64"/>
      <c r="C901" s="64"/>
      <c r="D901" s="64"/>
      <c r="E901" s="64"/>
      <c r="F901" s="64"/>
      <c r="G901" s="65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</row>
    <row r="902">
      <c r="A902" s="64"/>
      <c r="B902" s="64"/>
      <c r="C902" s="64"/>
      <c r="D902" s="64"/>
      <c r="E902" s="64"/>
      <c r="F902" s="64"/>
      <c r="G902" s="65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</row>
    <row r="903">
      <c r="A903" s="64"/>
      <c r="B903" s="64"/>
      <c r="C903" s="64"/>
      <c r="D903" s="64"/>
      <c r="E903" s="64"/>
      <c r="F903" s="64"/>
      <c r="G903" s="65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</row>
    <row r="904">
      <c r="A904" s="64"/>
      <c r="B904" s="64"/>
      <c r="C904" s="64"/>
      <c r="D904" s="64"/>
      <c r="E904" s="64"/>
      <c r="F904" s="64"/>
      <c r="G904" s="65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</row>
    <row r="905">
      <c r="A905" s="64"/>
      <c r="B905" s="64"/>
      <c r="C905" s="64"/>
      <c r="D905" s="64"/>
      <c r="E905" s="64"/>
      <c r="F905" s="64"/>
      <c r="G905" s="65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</row>
    <row r="906">
      <c r="A906" s="64"/>
      <c r="B906" s="64"/>
      <c r="C906" s="64"/>
      <c r="D906" s="64"/>
      <c r="E906" s="64"/>
      <c r="F906" s="64"/>
      <c r="G906" s="65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</row>
    <row r="907">
      <c r="A907" s="64"/>
      <c r="B907" s="64"/>
      <c r="C907" s="64"/>
      <c r="D907" s="64"/>
      <c r="E907" s="64"/>
      <c r="F907" s="64"/>
      <c r="G907" s="65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</row>
    <row r="908">
      <c r="A908" s="64"/>
      <c r="B908" s="64"/>
      <c r="C908" s="64"/>
      <c r="D908" s="64"/>
      <c r="E908" s="64"/>
      <c r="F908" s="64"/>
      <c r="G908" s="65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</row>
    <row r="909">
      <c r="A909" s="64"/>
      <c r="B909" s="64"/>
      <c r="C909" s="64"/>
      <c r="D909" s="64"/>
      <c r="E909" s="64"/>
      <c r="F909" s="64"/>
      <c r="G909" s="65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</row>
    <row r="910">
      <c r="A910" s="64"/>
      <c r="B910" s="64"/>
      <c r="C910" s="64"/>
      <c r="D910" s="64"/>
      <c r="E910" s="64"/>
      <c r="F910" s="64"/>
      <c r="G910" s="65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</row>
    <row r="911">
      <c r="A911" s="64"/>
      <c r="B911" s="64"/>
      <c r="C911" s="64"/>
      <c r="D911" s="64"/>
      <c r="E911" s="64"/>
      <c r="F911" s="64"/>
      <c r="G911" s="65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</row>
    <row r="912">
      <c r="A912" s="64"/>
      <c r="B912" s="64"/>
      <c r="C912" s="64"/>
      <c r="D912" s="64"/>
      <c r="E912" s="64"/>
      <c r="F912" s="64"/>
      <c r="G912" s="65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</row>
    <row r="913">
      <c r="A913" s="64"/>
      <c r="B913" s="64"/>
      <c r="C913" s="64"/>
      <c r="D913" s="64"/>
      <c r="E913" s="64"/>
      <c r="F913" s="64"/>
      <c r="G913" s="65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</row>
    <row r="914">
      <c r="A914" s="64"/>
      <c r="B914" s="64"/>
      <c r="C914" s="64"/>
      <c r="D914" s="64"/>
      <c r="E914" s="64"/>
      <c r="F914" s="64"/>
      <c r="G914" s="65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</row>
    <row r="915">
      <c r="A915" s="64"/>
      <c r="B915" s="64"/>
      <c r="C915" s="64"/>
      <c r="D915" s="64"/>
      <c r="E915" s="64"/>
      <c r="F915" s="64"/>
      <c r="G915" s="65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</row>
    <row r="916">
      <c r="A916" s="64"/>
      <c r="B916" s="64"/>
      <c r="C916" s="64"/>
      <c r="D916" s="64"/>
      <c r="E916" s="64"/>
      <c r="F916" s="64"/>
      <c r="G916" s="65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</row>
    <row r="917">
      <c r="A917" s="64"/>
      <c r="B917" s="64"/>
      <c r="C917" s="64"/>
      <c r="D917" s="64"/>
      <c r="E917" s="64"/>
      <c r="F917" s="64"/>
      <c r="G917" s="65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</row>
    <row r="918">
      <c r="A918" s="64"/>
      <c r="B918" s="64"/>
      <c r="C918" s="64"/>
      <c r="D918" s="64"/>
      <c r="E918" s="64"/>
      <c r="F918" s="64"/>
      <c r="G918" s="65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</row>
    <row r="919">
      <c r="A919" s="64"/>
      <c r="B919" s="64"/>
      <c r="C919" s="64"/>
      <c r="D919" s="64"/>
      <c r="E919" s="64"/>
      <c r="F919" s="64"/>
      <c r="G919" s="65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</row>
    <row r="920">
      <c r="A920" s="64"/>
      <c r="B920" s="64"/>
      <c r="C920" s="64"/>
      <c r="D920" s="64"/>
      <c r="E920" s="64"/>
      <c r="F920" s="64"/>
      <c r="G920" s="65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</row>
    <row r="921">
      <c r="A921" s="64"/>
      <c r="B921" s="64"/>
      <c r="C921" s="64"/>
      <c r="D921" s="64"/>
      <c r="E921" s="64"/>
      <c r="F921" s="64"/>
      <c r="G921" s="65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</row>
    <row r="922">
      <c r="A922" s="64"/>
      <c r="B922" s="64"/>
      <c r="C922" s="64"/>
      <c r="D922" s="64"/>
      <c r="E922" s="64"/>
      <c r="F922" s="64"/>
      <c r="G922" s="65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</row>
    <row r="923">
      <c r="A923" s="64"/>
      <c r="B923" s="64"/>
      <c r="C923" s="64"/>
      <c r="D923" s="64"/>
      <c r="E923" s="64"/>
      <c r="F923" s="64"/>
      <c r="G923" s="65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</row>
    <row r="924">
      <c r="A924" s="64"/>
      <c r="B924" s="64"/>
      <c r="C924" s="64"/>
      <c r="D924" s="64"/>
      <c r="E924" s="64"/>
      <c r="F924" s="64"/>
      <c r="G924" s="65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</row>
    <row r="925">
      <c r="A925" s="64"/>
      <c r="B925" s="64"/>
      <c r="C925" s="64"/>
      <c r="D925" s="64"/>
      <c r="E925" s="64"/>
      <c r="F925" s="64"/>
      <c r="G925" s="65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</row>
    <row r="926">
      <c r="A926" s="64"/>
      <c r="B926" s="64"/>
      <c r="C926" s="64"/>
      <c r="D926" s="64"/>
      <c r="E926" s="64"/>
      <c r="F926" s="64"/>
      <c r="G926" s="65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</row>
    <row r="927">
      <c r="A927" s="64"/>
      <c r="B927" s="64"/>
      <c r="C927" s="64"/>
      <c r="D927" s="64"/>
      <c r="E927" s="64"/>
      <c r="F927" s="64"/>
      <c r="G927" s="65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</row>
    <row r="928">
      <c r="A928" s="64"/>
      <c r="B928" s="64"/>
      <c r="C928" s="64"/>
      <c r="D928" s="64"/>
      <c r="E928" s="64"/>
      <c r="F928" s="64"/>
      <c r="G928" s="65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</row>
    <row r="929">
      <c r="A929" s="64"/>
      <c r="B929" s="64"/>
      <c r="C929" s="64"/>
      <c r="D929" s="64"/>
      <c r="E929" s="64"/>
      <c r="F929" s="64"/>
      <c r="G929" s="65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</row>
    <row r="930">
      <c r="A930" s="64"/>
      <c r="B930" s="64"/>
      <c r="C930" s="64"/>
      <c r="D930" s="64"/>
      <c r="E930" s="64"/>
      <c r="F930" s="64"/>
      <c r="G930" s="65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</row>
    <row r="931">
      <c r="A931" s="64"/>
      <c r="B931" s="64"/>
      <c r="C931" s="64"/>
      <c r="D931" s="64"/>
      <c r="E931" s="64"/>
      <c r="F931" s="64"/>
      <c r="G931" s="65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</row>
    <row r="932">
      <c r="A932" s="64"/>
      <c r="B932" s="64"/>
      <c r="C932" s="64"/>
      <c r="D932" s="64"/>
      <c r="E932" s="64"/>
      <c r="F932" s="64"/>
      <c r="G932" s="65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</row>
    <row r="933">
      <c r="A933" s="64"/>
      <c r="B933" s="64"/>
      <c r="C933" s="64"/>
      <c r="D933" s="64"/>
      <c r="E933" s="64"/>
      <c r="F933" s="64"/>
      <c r="G933" s="65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</row>
    <row r="934">
      <c r="A934" s="64"/>
      <c r="B934" s="64"/>
      <c r="C934" s="64"/>
      <c r="D934" s="64"/>
      <c r="E934" s="64"/>
      <c r="F934" s="64"/>
      <c r="G934" s="65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</row>
    <row r="935">
      <c r="A935" s="64"/>
      <c r="B935" s="64"/>
      <c r="C935" s="64"/>
      <c r="D935" s="64"/>
      <c r="E935" s="64"/>
      <c r="F935" s="64"/>
      <c r="G935" s="65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</row>
    <row r="936">
      <c r="A936" s="64"/>
      <c r="B936" s="64"/>
      <c r="C936" s="64"/>
      <c r="D936" s="64"/>
      <c r="E936" s="64"/>
      <c r="F936" s="64"/>
      <c r="G936" s="65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</row>
    <row r="937">
      <c r="A937" s="64"/>
      <c r="B937" s="64"/>
      <c r="C937" s="64"/>
      <c r="D937" s="64"/>
      <c r="E937" s="64"/>
      <c r="F937" s="64"/>
      <c r="G937" s="65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</row>
    <row r="938">
      <c r="A938" s="64"/>
      <c r="B938" s="64"/>
      <c r="C938" s="64"/>
      <c r="D938" s="64"/>
      <c r="E938" s="64"/>
      <c r="F938" s="64"/>
      <c r="G938" s="65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</row>
    <row r="939">
      <c r="A939" s="64"/>
      <c r="B939" s="64"/>
      <c r="C939" s="64"/>
      <c r="D939" s="64"/>
      <c r="E939" s="64"/>
      <c r="F939" s="64"/>
      <c r="G939" s="65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</row>
    <row r="940">
      <c r="A940" s="64"/>
      <c r="B940" s="64"/>
      <c r="C940" s="64"/>
      <c r="D940" s="64"/>
      <c r="E940" s="64"/>
      <c r="F940" s="64"/>
      <c r="G940" s="65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</row>
    <row r="941">
      <c r="A941" s="64"/>
      <c r="B941" s="64"/>
      <c r="C941" s="64"/>
      <c r="D941" s="64"/>
      <c r="E941" s="64"/>
      <c r="F941" s="64"/>
      <c r="G941" s="65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</row>
    <row r="942">
      <c r="A942" s="64"/>
      <c r="B942" s="64"/>
      <c r="C942" s="64"/>
      <c r="D942" s="64"/>
      <c r="E942" s="64"/>
      <c r="F942" s="64"/>
      <c r="G942" s="65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</row>
    <row r="943">
      <c r="A943" s="64"/>
      <c r="B943" s="64"/>
      <c r="C943" s="64"/>
      <c r="D943" s="64"/>
      <c r="E943" s="64"/>
      <c r="F943" s="64"/>
      <c r="G943" s="65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</row>
    <row r="944">
      <c r="A944" s="64"/>
      <c r="B944" s="64"/>
      <c r="C944" s="64"/>
      <c r="D944" s="64"/>
      <c r="E944" s="64"/>
      <c r="F944" s="64"/>
      <c r="G944" s="65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</row>
    <row r="945">
      <c r="A945" s="64"/>
      <c r="B945" s="64"/>
      <c r="C945" s="64"/>
      <c r="D945" s="64"/>
      <c r="E945" s="64"/>
      <c r="F945" s="64"/>
      <c r="G945" s="65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</row>
    <row r="946">
      <c r="A946" s="64"/>
      <c r="B946" s="64"/>
      <c r="C946" s="64"/>
      <c r="D946" s="64"/>
      <c r="E946" s="64"/>
      <c r="F946" s="64"/>
      <c r="G946" s="65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</row>
    <row r="947">
      <c r="A947" s="64"/>
      <c r="B947" s="64"/>
      <c r="C947" s="64"/>
      <c r="D947" s="64"/>
      <c r="E947" s="64"/>
      <c r="F947" s="64"/>
      <c r="G947" s="65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</row>
    <row r="948">
      <c r="A948" s="64"/>
      <c r="B948" s="64"/>
      <c r="C948" s="64"/>
      <c r="D948" s="64"/>
      <c r="E948" s="64"/>
      <c r="F948" s="64"/>
      <c r="G948" s="65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</row>
    <row r="949">
      <c r="A949" s="64"/>
      <c r="B949" s="64"/>
      <c r="C949" s="64"/>
      <c r="D949" s="64"/>
      <c r="E949" s="64"/>
      <c r="F949" s="64"/>
      <c r="G949" s="65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</row>
    <row r="950">
      <c r="A950" s="64"/>
      <c r="B950" s="64"/>
      <c r="C950" s="64"/>
      <c r="D950" s="64"/>
      <c r="E950" s="64"/>
      <c r="F950" s="64"/>
      <c r="G950" s="65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</row>
    <row r="951">
      <c r="A951" s="64"/>
      <c r="B951" s="64"/>
      <c r="C951" s="64"/>
      <c r="D951" s="64"/>
      <c r="E951" s="64"/>
      <c r="F951" s="64"/>
      <c r="G951" s="65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</row>
    <row r="952">
      <c r="A952" s="64"/>
      <c r="B952" s="64"/>
      <c r="C952" s="64"/>
      <c r="D952" s="64"/>
      <c r="E952" s="64"/>
      <c r="F952" s="64"/>
      <c r="G952" s="65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</row>
    <row r="953">
      <c r="A953" s="64"/>
      <c r="B953" s="64"/>
      <c r="C953" s="64"/>
      <c r="D953" s="64"/>
      <c r="E953" s="64"/>
      <c r="F953" s="64"/>
      <c r="G953" s="65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</row>
    <row r="954">
      <c r="A954" s="64"/>
      <c r="B954" s="64"/>
      <c r="C954" s="64"/>
      <c r="D954" s="64"/>
      <c r="E954" s="64"/>
      <c r="F954" s="64"/>
      <c r="G954" s="65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</row>
    <row r="955">
      <c r="A955" s="64"/>
      <c r="B955" s="64"/>
      <c r="C955" s="64"/>
      <c r="D955" s="64"/>
      <c r="E955" s="64"/>
      <c r="F955" s="64"/>
      <c r="G955" s="65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</row>
    <row r="956">
      <c r="A956" s="64"/>
      <c r="B956" s="64"/>
      <c r="C956" s="64"/>
      <c r="D956" s="64"/>
      <c r="E956" s="64"/>
      <c r="F956" s="64"/>
      <c r="G956" s="65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</row>
    <row r="957">
      <c r="A957" s="64"/>
      <c r="B957" s="64"/>
      <c r="C957" s="64"/>
      <c r="D957" s="64"/>
      <c r="E957" s="64"/>
      <c r="F957" s="64"/>
      <c r="G957" s="65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</row>
    <row r="958">
      <c r="A958" s="64"/>
      <c r="B958" s="64"/>
      <c r="C958" s="64"/>
      <c r="D958" s="64"/>
      <c r="E958" s="64"/>
      <c r="F958" s="64"/>
      <c r="G958" s="65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</row>
    <row r="959">
      <c r="A959" s="64"/>
      <c r="B959" s="64"/>
      <c r="C959" s="64"/>
      <c r="D959" s="64"/>
      <c r="E959" s="64"/>
      <c r="F959" s="64"/>
      <c r="G959" s="65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</row>
    <row r="960">
      <c r="A960" s="64"/>
      <c r="B960" s="64"/>
      <c r="C960" s="64"/>
      <c r="D960" s="64"/>
      <c r="E960" s="64"/>
      <c r="F960" s="64"/>
      <c r="G960" s="65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</row>
    <row r="961">
      <c r="A961" s="64"/>
      <c r="B961" s="64"/>
      <c r="C961" s="64"/>
      <c r="D961" s="64"/>
      <c r="E961" s="64"/>
      <c r="F961" s="64"/>
      <c r="G961" s="65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</row>
    <row r="962">
      <c r="A962" s="64"/>
      <c r="B962" s="64"/>
      <c r="C962" s="64"/>
      <c r="D962" s="64"/>
      <c r="E962" s="64"/>
      <c r="F962" s="64"/>
      <c r="G962" s="65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</row>
    <row r="963">
      <c r="A963" s="64"/>
      <c r="B963" s="64"/>
      <c r="C963" s="64"/>
      <c r="D963" s="64"/>
      <c r="E963" s="64"/>
      <c r="F963" s="64"/>
      <c r="G963" s="65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</row>
    <row r="964">
      <c r="A964" s="64"/>
      <c r="B964" s="64"/>
      <c r="C964" s="64"/>
      <c r="D964" s="64"/>
      <c r="E964" s="64"/>
      <c r="F964" s="64"/>
      <c r="G964" s="65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</row>
    <row r="965">
      <c r="A965" s="64"/>
      <c r="B965" s="64"/>
      <c r="C965" s="64"/>
      <c r="D965" s="64"/>
      <c r="E965" s="64"/>
      <c r="F965" s="64"/>
      <c r="G965" s="65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</row>
    <row r="966">
      <c r="A966" s="64"/>
      <c r="B966" s="64"/>
      <c r="C966" s="64"/>
      <c r="D966" s="64"/>
      <c r="E966" s="64"/>
      <c r="F966" s="64"/>
      <c r="G966" s="65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</row>
    <row r="967">
      <c r="A967" s="64"/>
      <c r="B967" s="64"/>
      <c r="C967" s="64"/>
      <c r="D967" s="64"/>
      <c r="E967" s="64"/>
      <c r="F967" s="64"/>
      <c r="G967" s="65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</row>
    <row r="968">
      <c r="A968" s="64"/>
      <c r="B968" s="64"/>
      <c r="C968" s="64"/>
      <c r="D968" s="64"/>
      <c r="E968" s="64"/>
      <c r="F968" s="64"/>
      <c r="G968" s="65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</row>
    <row r="969">
      <c r="A969" s="64"/>
      <c r="B969" s="64"/>
      <c r="C969" s="64"/>
      <c r="D969" s="64"/>
      <c r="E969" s="64"/>
      <c r="F969" s="64"/>
      <c r="G969" s="65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</row>
    <row r="970">
      <c r="A970" s="64"/>
      <c r="B970" s="64"/>
      <c r="C970" s="64"/>
      <c r="D970" s="64"/>
      <c r="E970" s="64"/>
      <c r="F970" s="64"/>
      <c r="G970" s="65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</row>
    <row r="971">
      <c r="A971" s="64"/>
      <c r="B971" s="64"/>
      <c r="C971" s="64"/>
      <c r="D971" s="64"/>
      <c r="E971" s="64"/>
      <c r="F971" s="64"/>
      <c r="G971" s="65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</row>
    <row r="972">
      <c r="A972" s="64"/>
      <c r="B972" s="64"/>
      <c r="C972" s="64"/>
      <c r="D972" s="64"/>
      <c r="E972" s="64"/>
      <c r="F972" s="64"/>
      <c r="G972" s="65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</row>
    <row r="973">
      <c r="A973" s="64"/>
      <c r="B973" s="64"/>
      <c r="C973" s="64"/>
      <c r="D973" s="64"/>
      <c r="E973" s="64"/>
      <c r="F973" s="64"/>
      <c r="G973" s="65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</row>
    <row r="974">
      <c r="A974" s="64"/>
      <c r="B974" s="64"/>
      <c r="C974" s="64"/>
      <c r="D974" s="64"/>
      <c r="E974" s="64"/>
      <c r="F974" s="64"/>
      <c r="G974" s="65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</row>
    <row r="975">
      <c r="A975" s="64"/>
      <c r="B975" s="64"/>
      <c r="C975" s="64"/>
      <c r="D975" s="64"/>
      <c r="E975" s="64"/>
      <c r="F975" s="64"/>
      <c r="G975" s="65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</row>
    <row r="976">
      <c r="A976" s="64"/>
      <c r="B976" s="64"/>
      <c r="C976" s="64"/>
      <c r="D976" s="64"/>
      <c r="E976" s="64"/>
      <c r="F976" s="64"/>
      <c r="G976" s="65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</row>
    <row r="977">
      <c r="A977" s="64"/>
      <c r="B977" s="64"/>
      <c r="C977" s="64"/>
      <c r="D977" s="64"/>
      <c r="E977" s="64"/>
      <c r="F977" s="64"/>
      <c r="G977" s="65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</row>
    <row r="978">
      <c r="A978" s="64"/>
      <c r="B978" s="64"/>
      <c r="C978" s="64"/>
      <c r="D978" s="64"/>
      <c r="E978" s="64"/>
      <c r="F978" s="64"/>
      <c r="G978" s="65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</row>
    <row r="979">
      <c r="A979" s="64"/>
      <c r="B979" s="64"/>
      <c r="C979" s="64"/>
      <c r="D979" s="64"/>
      <c r="E979" s="64"/>
      <c r="F979" s="64"/>
      <c r="G979" s="65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</row>
    <row r="980">
      <c r="A980" s="64"/>
      <c r="B980" s="64"/>
      <c r="C980" s="64"/>
      <c r="D980" s="64"/>
      <c r="E980" s="64"/>
      <c r="F980" s="64"/>
      <c r="G980" s="65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</row>
    <row r="981">
      <c r="A981" s="64"/>
      <c r="B981" s="64"/>
      <c r="C981" s="64"/>
      <c r="D981" s="64"/>
      <c r="E981" s="64"/>
      <c r="F981" s="64"/>
      <c r="G981" s="65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</row>
    <row r="982">
      <c r="A982" s="64"/>
      <c r="B982" s="64"/>
      <c r="C982" s="64"/>
      <c r="D982" s="64"/>
      <c r="E982" s="64"/>
      <c r="F982" s="64"/>
      <c r="G982" s="65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</row>
    <row r="983">
      <c r="A983" s="64"/>
      <c r="B983" s="64"/>
      <c r="C983" s="64"/>
      <c r="D983" s="64"/>
      <c r="E983" s="64"/>
      <c r="F983" s="64"/>
      <c r="G983" s="65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</row>
    <row r="984">
      <c r="A984" s="64"/>
      <c r="B984" s="64"/>
      <c r="C984" s="64"/>
      <c r="D984" s="64"/>
      <c r="E984" s="64"/>
      <c r="F984" s="64"/>
      <c r="G984" s="65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</row>
    <row r="985">
      <c r="A985" s="64"/>
      <c r="B985" s="64"/>
      <c r="C985" s="64"/>
      <c r="D985" s="64"/>
      <c r="E985" s="64"/>
      <c r="F985" s="64"/>
      <c r="G985" s="65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</row>
    <row r="986">
      <c r="A986" s="64"/>
      <c r="B986" s="64"/>
      <c r="C986" s="64"/>
      <c r="D986" s="64"/>
      <c r="E986" s="64"/>
      <c r="F986" s="64"/>
      <c r="G986" s="65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</row>
    <row r="987">
      <c r="A987" s="64"/>
      <c r="B987" s="64"/>
      <c r="C987" s="64"/>
      <c r="D987" s="64"/>
      <c r="E987" s="64"/>
      <c r="F987" s="64"/>
      <c r="G987" s="65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</row>
    <row r="988">
      <c r="A988" s="64"/>
      <c r="B988" s="64"/>
      <c r="C988" s="64"/>
      <c r="D988" s="64"/>
      <c r="E988" s="64"/>
      <c r="F988" s="64"/>
      <c r="G988" s="65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</row>
    <row r="989">
      <c r="A989" s="64"/>
      <c r="B989" s="64"/>
      <c r="C989" s="64"/>
      <c r="D989" s="64"/>
      <c r="E989" s="64"/>
      <c r="F989" s="64"/>
      <c r="G989" s="65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</row>
  </sheetData>
  <hyperlinks>
    <hyperlink r:id="rId1" ref="F5"/>
    <hyperlink r:id="rId2" ref="F6"/>
    <hyperlink r:id="rId3" ref="F7"/>
    <hyperlink r:id="rId4" ref="G7"/>
    <hyperlink r:id="rId5" ref="F8"/>
    <hyperlink r:id="rId6" ref="F9"/>
    <hyperlink r:id="rId7" ref="G9"/>
    <hyperlink r:id="rId8" ref="F10"/>
    <hyperlink r:id="rId9" ref="F11"/>
    <hyperlink r:id="rId10" ref="F12"/>
    <hyperlink r:id="rId11" ref="F13"/>
    <hyperlink r:id="rId12" ref="F14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6.13"/>
    <col customWidth="1" min="4" max="4" width="27.88"/>
    <col customWidth="1" min="7" max="7" width="18.88"/>
    <col customWidth="1" min="12" max="12" width="20.88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37" t="s">
        <v>326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39" t="s">
        <v>57</v>
      </c>
      <c r="C3" s="38" t="s">
        <v>101</v>
      </c>
      <c r="D3" s="39" t="s">
        <v>154</v>
      </c>
      <c r="E3" s="39" t="s">
        <v>327</v>
      </c>
      <c r="F3" s="39" t="s">
        <v>103</v>
      </c>
      <c r="G3" s="39" t="s">
        <v>104</v>
      </c>
      <c r="H3" s="39" t="s">
        <v>105</v>
      </c>
      <c r="I3" s="39" t="s">
        <v>106</v>
      </c>
      <c r="J3" s="39" t="s">
        <v>107</v>
      </c>
      <c r="K3" s="39" t="s">
        <v>328</v>
      </c>
      <c r="L3" s="39" t="s">
        <v>329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80" t="s">
        <v>330</v>
      </c>
      <c r="C4" s="46" t="s">
        <v>120</v>
      </c>
      <c r="D4" s="46" t="s">
        <v>331</v>
      </c>
      <c r="E4" s="46" t="s">
        <v>332</v>
      </c>
      <c r="F4" s="46" t="s">
        <v>117</v>
      </c>
      <c r="G4" s="46" t="s">
        <v>333</v>
      </c>
      <c r="H4" s="46">
        <v>45.0</v>
      </c>
      <c r="I4" s="81">
        <v>3.0</v>
      </c>
      <c r="J4" s="40">
        <v>40.0</v>
      </c>
      <c r="K4" s="40" t="s">
        <v>334</v>
      </c>
      <c r="L4" s="55" t="s">
        <v>335</v>
      </c>
      <c r="M4" s="16"/>
      <c r="N4" s="82"/>
      <c r="O4" s="83"/>
      <c r="P4" s="82" t="s">
        <v>336</v>
      </c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30"/>
      <c r="C5" s="44" t="s">
        <v>120</v>
      </c>
      <c r="D5" s="44" t="s">
        <v>92</v>
      </c>
      <c r="E5" s="44" t="s">
        <v>337</v>
      </c>
      <c r="F5" s="44" t="s">
        <v>117</v>
      </c>
      <c r="G5" s="44" t="s">
        <v>333</v>
      </c>
      <c r="H5" s="44">
        <v>45.0</v>
      </c>
      <c r="I5" s="44">
        <v>3.0</v>
      </c>
      <c r="J5" s="44">
        <v>40.0</v>
      </c>
      <c r="K5" s="44" t="s">
        <v>334</v>
      </c>
      <c r="L5" s="30"/>
      <c r="M5" s="16"/>
      <c r="N5" s="82"/>
      <c r="O5" s="83"/>
      <c r="P5" s="82" t="s">
        <v>338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30"/>
      <c r="C6" s="40" t="s">
        <v>120</v>
      </c>
      <c r="D6" s="40" t="s">
        <v>339</v>
      </c>
      <c r="E6" s="40" t="s">
        <v>340</v>
      </c>
      <c r="F6" s="40"/>
      <c r="G6" s="40"/>
      <c r="H6" s="40"/>
      <c r="I6" s="81"/>
      <c r="J6" s="40">
        <v>40.0</v>
      </c>
      <c r="K6" s="40" t="s">
        <v>334</v>
      </c>
      <c r="L6" s="30"/>
      <c r="M6" s="16"/>
      <c r="N6" s="82"/>
      <c r="O6" s="83"/>
      <c r="P6" s="82" t="s">
        <v>341</v>
      </c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30"/>
      <c r="C7" s="40" t="s">
        <v>120</v>
      </c>
      <c r="D7" s="40" t="s">
        <v>342</v>
      </c>
      <c r="E7" s="40" t="s">
        <v>340</v>
      </c>
      <c r="F7" s="40"/>
      <c r="G7" s="40"/>
      <c r="H7" s="40"/>
      <c r="I7" s="81"/>
      <c r="J7" s="40">
        <v>40.0</v>
      </c>
      <c r="K7" s="40" t="s">
        <v>334</v>
      </c>
      <c r="L7" s="30"/>
      <c r="M7" s="16"/>
      <c r="N7" s="82"/>
      <c r="O7" s="83"/>
      <c r="P7" s="82" t="s">
        <v>343</v>
      </c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23"/>
      <c r="C8" s="40" t="s">
        <v>120</v>
      </c>
      <c r="D8" s="46" t="s">
        <v>344</v>
      </c>
      <c r="E8" s="46" t="s">
        <v>345</v>
      </c>
      <c r="F8" s="46"/>
      <c r="G8" s="46"/>
      <c r="H8" s="46"/>
      <c r="I8" s="81"/>
      <c r="J8" s="40">
        <v>40.0</v>
      </c>
      <c r="K8" s="40" t="s">
        <v>334</v>
      </c>
      <c r="L8" s="23"/>
      <c r="M8" s="16"/>
      <c r="N8" s="82"/>
      <c r="O8" s="83"/>
      <c r="P8" s="82" t="s">
        <v>346</v>
      </c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49"/>
      <c r="C9" s="11"/>
      <c r="D9" s="11"/>
      <c r="E9" s="11"/>
      <c r="F9" s="11"/>
      <c r="G9" s="12"/>
      <c r="H9" s="56"/>
      <c r="I9" s="56"/>
      <c r="J9" s="56"/>
      <c r="K9" s="56"/>
      <c r="L9" s="56"/>
      <c r="M9" s="16"/>
      <c r="N9" s="82"/>
      <c r="O9" s="83"/>
      <c r="P9" s="82" t="s">
        <v>347</v>
      </c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84"/>
      <c r="B10" s="85" t="s">
        <v>348</v>
      </c>
      <c r="C10" s="52" t="s">
        <v>120</v>
      </c>
      <c r="D10" s="52" t="s">
        <v>95</v>
      </c>
      <c r="E10" s="51" t="s">
        <v>337</v>
      </c>
      <c r="F10" s="51" t="s">
        <v>117</v>
      </c>
      <c r="G10" s="44" t="s">
        <v>333</v>
      </c>
      <c r="H10" s="86">
        <v>45.0</v>
      </c>
      <c r="I10" s="86">
        <v>3.0</v>
      </c>
      <c r="J10" s="51">
        <v>40.0</v>
      </c>
      <c r="K10" s="51" t="s">
        <v>334</v>
      </c>
      <c r="L10" s="87" t="s">
        <v>349</v>
      </c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>
      <c r="A11" s="84"/>
      <c r="B11" s="30"/>
      <c r="C11" s="52" t="s">
        <v>120</v>
      </c>
      <c r="D11" s="52" t="s">
        <v>96</v>
      </c>
      <c r="E11" s="51" t="s">
        <v>337</v>
      </c>
      <c r="F11" s="51" t="s">
        <v>117</v>
      </c>
      <c r="G11" s="44" t="s">
        <v>333</v>
      </c>
      <c r="H11" s="86">
        <v>45.0</v>
      </c>
      <c r="I11" s="86">
        <v>3.0</v>
      </c>
      <c r="J11" s="51">
        <v>40.0</v>
      </c>
      <c r="K11" s="51" t="s">
        <v>334</v>
      </c>
      <c r="L11" s="30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>
      <c r="A12" s="84"/>
      <c r="B12" s="30"/>
      <c r="C12" s="40" t="s">
        <v>120</v>
      </c>
      <c r="D12" s="88" t="s">
        <v>128</v>
      </c>
      <c r="E12" s="89" t="s">
        <v>340</v>
      </c>
      <c r="F12" s="89" t="s">
        <v>117</v>
      </c>
      <c r="G12" s="89"/>
      <c r="H12" s="89"/>
      <c r="I12" s="90"/>
      <c r="J12" s="91">
        <v>40.0</v>
      </c>
      <c r="K12" s="91" t="s">
        <v>334</v>
      </c>
      <c r="L12" s="30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>
      <c r="A13" s="84"/>
      <c r="B13" s="23"/>
      <c r="C13" s="40" t="s">
        <v>120</v>
      </c>
      <c r="D13" s="88" t="s">
        <v>350</v>
      </c>
      <c r="E13" s="89" t="s">
        <v>340</v>
      </c>
      <c r="F13" s="89" t="s">
        <v>117</v>
      </c>
      <c r="G13" s="89"/>
      <c r="H13" s="89"/>
      <c r="I13" s="90"/>
      <c r="J13" s="91">
        <v>40.0</v>
      </c>
      <c r="K13" s="91" t="s">
        <v>334</v>
      </c>
      <c r="L13" s="23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>
      <c r="A14" s="84"/>
      <c r="B14" s="92"/>
      <c r="C14" s="11"/>
      <c r="D14" s="11"/>
      <c r="E14" s="11"/>
      <c r="F14" s="11"/>
      <c r="G14" s="12"/>
      <c r="H14" s="90"/>
      <c r="I14" s="93"/>
      <c r="J14" s="93"/>
      <c r="K14" s="93"/>
      <c r="L14" s="9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>
      <c r="A15" s="16"/>
      <c r="B15" s="55" t="s">
        <v>351</v>
      </c>
      <c r="C15" s="40" t="s">
        <v>120</v>
      </c>
      <c r="D15" s="40" t="s">
        <v>352</v>
      </c>
      <c r="E15" s="40" t="s">
        <v>337</v>
      </c>
      <c r="F15" s="40" t="s">
        <v>117</v>
      </c>
      <c r="G15" s="40"/>
      <c r="H15" s="40"/>
      <c r="I15" s="81"/>
      <c r="J15" s="40">
        <v>40.0</v>
      </c>
      <c r="K15" s="40" t="s">
        <v>334</v>
      </c>
      <c r="L15" s="55" t="s">
        <v>349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30"/>
      <c r="C16" s="40" t="s">
        <v>120</v>
      </c>
      <c r="D16" s="40" t="s">
        <v>353</v>
      </c>
      <c r="E16" s="40" t="s">
        <v>337</v>
      </c>
      <c r="F16" s="40" t="s">
        <v>117</v>
      </c>
      <c r="G16" s="40"/>
      <c r="H16" s="40"/>
      <c r="I16" s="81"/>
      <c r="J16" s="40">
        <v>40.0</v>
      </c>
      <c r="K16" s="40" t="s">
        <v>334</v>
      </c>
      <c r="L16" s="30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30"/>
      <c r="C17" s="40" t="s">
        <v>120</v>
      </c>
      <c r="D17" s="46" t="s">
        <v>354</v>
      </c>
      <c r="E17" s="46" t="s">
        <v>340</v>
      </c>
      <c r="F17" s="46" t="s">
        <v>117</v>
      </c>
      <c r="G17" s="46"/>
      <c r="H17" s="46"/>
      <c r="I17" s="81"/>
      <c r="J17" s="40">
        <v>40.0</v>
      </c>
      <c r="K17" s="40" t="s">
        <v>334</v>
      </c>
      <c r="L17" s="30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23"/>
      <c r="C18" s="40" t="s">
        <v>120</v>
      </c>
      <c r="D18" s="46" t="s">
        <v>355</v>
      </c>
      <c r="E18" s="46" t="s">
        <v>340</v>
      </c>
      <c r="F18" s="46" t="s">
        <v>117</v>
      </c>
      <c r="G18" s="46"/>
      <c r="H18" s="46"/>
      <c r="I18" s="81"/>
      <c r="J18" s="40">
        <v>40.0</v>
      </c>
      <c r="K18" s="40" t="s">
        <v>334</v>
      </c>
      <c r="L18" s="23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49"/>
      <c r="C19" s="11"/>
      <c r="D19" s="11"/>
      <c r="E19" s="11"/>
      <c r="F19" s="11"/>
      <c r="G19" s="12"/>
      <c r="H19" s="56"/>
      <c r="I19" s="56"/>
      <c r="J19" s="56"/>
      <c r="K19" s="56"/>
      <c r="L19" s="41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55" t="s">
        <v>356</v>
      </c>
      <c r="C20" s="40" t="s">
        <v>357</v>
      </c>
      <c r="D20" s="40" t="s">
        <v>358</v>
      </c>
      <c r="E20" s="40" t="s">
        <v>345</v>
      </c>
      <c r="F20" s="40" t="s">
        <v>359</v>
      </c>
      <c r="G20" s="40"/>
      <c r="H20" s="40">
        <v>45.0</v>
      </c>
      <c r="I20" s="81">
        <v>3.0</v>
      </c>
      <c r="J20" s="40">
        <v>40.0</v>
      </c>
      <c r="K20" s="40" t="s">
        <v>334</v>
      </c>
      <c r="L20" s="55" t="s">
        <v>349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30"/>
      <c r="C21" s="40" t="s">
        <v>357</v>
      </c>
      <c r="D21" s="40" t="s">
        <v>360</v>
      </c>
      <c r="E21" s="40" t="s">
        <v>345</v>
      </c>
      <c r="F21" s="40" t="s">
        <v>361</v>
      </c>
      <c r="G21" s="40"/>
      <c r="H21" s="40">
        <v>45.0</v>
      </c>
      <c r="I21" s="81">
        <v>3.0</v>
      </c>
      <c r="J21" s="40">
        <v>40.0</v>
      </c>
      <c r="K21" s="40" t="s">
        <v>334</v>
      </c>
      <c r="L21" s="30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23"/>
      <c r="C22" s="40" t="s">
        <v>357</v>
      </c>
      <c r="D22" s="40" t="s">
        <v>362</v>
      </c>
      <c r="E22" s="40" t="s">
        <v>345</v>
      </c>
      <c r="F22" s="40" t="s">
        <v>361</v>
      </c>
      <c r="G22" s="40"/>
      <c r="H22" s="40">
        <v>45.0</v>
      </c>
      <c r="I22" s="81">
        <v>3.0</v>
      </c>
      <c r="J22" s="40">
        <v>40.0</v>
      </c>
      <c r="K22" s="40" t="s">
        <v>334</v>
      </c>
      <c r="L22" s="23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49"/>
      <c r="C23" s="11"/>
      <c r="D23" s="11"/>
      <c r="E23" s="11"/>
      <c r="F23" s="11"/>
      <c r="G23" s="12"/>
      <c r="H23" s="81"/>
      <c r="I23" s="39"/>
      <c r="J23" s="39"/>
      <c r="K23" s="39"/>
      <c r="L23" s="39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80" t="s">
        <v>363</v>
      </c>
      <c r="C24" s="52" t="s">
        <v>364</v>
      </c>
      <c r="D24" s="44" t="s">
        <v>97</v>
      </c>
      <c r="E24" s="44" t="s">
        <v>337</v>
      </c>
      <c r="F24" s="44" t="s">
        <v>117</v>
      </c>
      <c r="G24" s="44" t="s">
        <v>333</v>
      </c>
      <c r="H24" s="44">
        <v>45.0</v>
      </c>
      <c r="I24" s="44">
        <v>3.0</v>
      </c>
      <c r="J24" s="44">
        <v>40.0</v>
      </c>
      <c r="K24" s="44" t="s">
        <v>334</v>
      </c>
      <c r="L24" s="55" t="s">
        <v>349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30"/>
      <c r="C25" s="52" t="s">
        <v>364</v>
      </c>
      <c r="D25" s="44" t="s">
        <v>98</v>
      </c>
      <c r="E25" s="44" t="s">
        <v>337</v>
      </c>
      <c r="F25" s="44" t="s">
        <v>117</v>
      </c>
      <c r="G25" s="44" t="s">
        <v>333</v>
      </c>
      <c r="H25" s="44">
        <v>45.0</v>
      </c>
      <c r="I25" s="44">
        <v>3.0</v>
      </c>
      <c r="J25" s="44">
        <v>40.0</v>
      </c>
      <c r="K25" s="44" t="s">
        <v>334</v>
      </c>
      <c r="L25" s="30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23"/>
      <c r="C26" s="40" t="s">
        <v>364</v>
      </c>
      <c r="D26" s="40" t="s">
        <v>365</v>
      </c>
      <c r="E26" s="40" t="s">
        <v>337</v>
      </c>
      <c r="F26" s="40" t="s">
        <v>117</v>
      </c>
      <c r="G26" s="40"/>
      <c r="H26" s="40"/>
      <c r="I26" s="81"/>
      <c r="J26" s="40">
        <v>40.0</v>
      </c>
      <c r="K26" s="40" t="s">
        <v>334</v>
      </c>
      <c r="L26" s="23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49"/>
      <c r="C27" s="11"/>
      <c r="D27" s="11"/>
      <c r="E27" s="11"/>
      <c r="F27" s="11"/>
      <c r="G27" s="12"/>
      <c r="H27" s="56"/>
      <c r="I27" s="56"/>
      <c r="J27" s="56"/>
      <c r="K27" s="56"/>
      <c r="L27" s="5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55" t="s">
        <v>366</v>
      </c>
      <c r="C28" s="40" t="s">
        <v>364</v>
      </c>
      <c r="D28" s="40" t="s">
        <v>367</v>
      </c>
      <c r="E28" s="40" t="s">
        <v>337</v>
      </c>
      <c r="F28" s="40" t="s">
        <v>117</v>
      </c>
      <c r="G28" s="40"/>
      <c r="H28" s="40"/>
      <c r="I28" s="81"/>
      <c r="J28" s="40">
        <v>40.0</v>
      </c>
      <c r="K28" s="40" t="s">
        <v>334</v>
      </c>
      <c r="L28" s="55" t="s">
        <v>349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30"/>
      <c r="C29" s="46" t="s">
        <v>364</v>
      </c>
      <c r="D29" s="46" t="s">
        <v>368</v>
      </c>
      <c r="E29" s="46" t="s">
        <v>337</v>
      </c>
      <c r="F29" s="46" t="s">
        <v>117</v>
      </c>
      <c r="G29" s="46"/>
      <c r="H29" s="46"/>
      <c r="I29" s="81"/>
      <c r="J29" s="40">
        <v>40.0</v>
      </c>
      <c r="K29" s="40" t="s">
        <v>334</v>
      </c>
      <c r="L29" s="30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23"/>
      <c r="C30" s="40" t="s">
        <v>364</v>
      </c>
      <c r="D30" s="40" t="s">
        <v>369</v>
      </c>
      <c r="E30" s="40" t="s">
        <v>340</v>
      </c>
      <c r="F30" s="40" t="s">
        <v>117</v>
      </c>
      <c r="G30" s="46"/>
      <c r="H30" s="46"/>
      <c r="I30" s="81"/>
      <c r="J30" s="46">
        <v>40.0</v>
      </c>
      <c r="K30" s="46" t="s">
        <v>334</v>
      </c>
      <c r="L30" s="23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49"/>
      <c r="C31" s="11"/>
      <c r="D31" s="11"/>
      <c r="E31" s="11"/>
      <c r="F31" s="11"/>
      <c r="G31" s="12"/>
      <c r="H31" s="56"/>
      <c r="I31" s="56"/>
      <c r="J31" s="56"/>
      <c r="K31" s="56"/>
      <c r="L31" s="5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55" t="s">
        <v>370</v>
      </c>
      <c r="C32" s="40" t="s">
        <v>371</v>
      </c>
      <c r="D32" s="40" t="s">
        <v>372</v>
      </c>
      <c r="E32" s="40" t="s">
        <v>345</v>
      </c>
      <c r="F32" s="40" t="s">
        <v>359</v>
      </c>
      <c r="G32" s="40"/>
      <c r="H32" s="40">
        <v>45.0</v>
      </c>
      <c r="I32" s="81">
        <v>3.0</v>
      </c>
      <c r="J32" s="40">
        <v>40.0</v>
      </c>
      <c r="K32" s="40" t="s">
        <v>334</v>
      </c>
      <c r="L32" s="55" t="s">
        <v>349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30"/>
      <c r="C33" s="40" t="s">
        <v>371</v>
      </c>
      <c r="D33" s="40" t="s">
        <v>373</v>
      </c>
      <c r="E33" s="40" t="s">
        <v>345</v>
      </c>
      <c r="F33" s="40" t="s">
        <v>361</v>
      </c>
      <c r="G33" s="40"/>
      <c r="H33" s="40">
        <v>45.0</v>
      </c>
      <c r="I33" s="81">
        <v>1.0</v>
      </c>
      <c r="J33" s="40">
        <v>40.0</v>
      </c>
      <c r="K33" s="40" t="s">
        <v>334</v>
      </c>
      <c r="L33" s="30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23"/>
      <c r="C34" s="40" t="s">
        <v>371</v>
      </c>
      <c r="D34" s="40" t="s">
        <v>374</v>
      </c>
      <c r="E34" s="40" t="s">
        <v>345</v>
      </c>
      <c r="F34" s="40" t="s">
        <v>361</v>
      </c>
      <c r="G34" s="40"/>
      <c r="H34" s="46">
        <v>45.0</v>
      </c>
      <c r="I34" s="81">
        <v>1.0</v>
      </c>
      <c r="J34" s="46">
        <v>40.0</v>
      </c>
      <c r="K34" s="46" t="s">
        <v>334</v>
      </c>
      <c r="L34" s="23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49"/>
      <c r="C35" s="11"/>
      <c r="D35" s="11"/>
      <c r="E35" s="11"/>
      <c r="F35" s="11"/>
      <c r="G35" s="12"/>
      <c r="H35" s="56"/>
      <c r="I35" s="56"/>
      <c r="J35" s="56"/>
      <c r="K35" s="56"/>
      <c r="L35" s="5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>
        <f>SUM(H5+H10+H11+H24+H25)</f>
        <v>225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33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95" t="s">
        <v>375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9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95" t="s">
        <v>376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95" t="s">
        <v>377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95" t="s">
        <v>378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95" t="s">
        <v>379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95" t="s">
        <v>380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95" t="s">
        <v>381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95" t="s">
        <v>382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95" t="s">
        <v>383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95" t="s">
        <v>384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95" t="s">
        <v>385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95" t="s">
        <v>386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9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95" t="s">
        <v>387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95" t="s">
        <v>388</v>
      </c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95" t="s">
        <v>389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97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98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54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54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54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54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54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54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54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54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54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54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54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54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54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54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54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54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54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54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54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54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54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54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54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54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54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54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54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54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54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54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54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54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54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54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54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54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54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54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54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54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54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54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54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54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54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54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54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54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54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54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54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54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54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54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54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54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54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54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54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54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54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54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54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54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54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54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54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54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54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54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54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54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54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54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54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54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54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54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54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54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54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54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54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54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54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54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54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54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54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54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54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54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54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54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54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54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54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54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54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54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54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54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54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54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54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54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54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54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54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54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54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54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54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54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54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54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54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54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54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54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54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54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54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54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54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54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54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54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54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54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54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54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54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54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54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54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54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54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54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54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54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54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54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54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54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54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54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54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54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54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54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54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54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54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54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54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54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54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54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54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54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54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54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54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54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54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54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54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54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54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54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54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54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54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54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54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54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54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54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54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54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54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54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54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54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54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54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54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54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54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54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54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54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54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54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54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54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54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54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54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54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54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54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54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54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54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54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54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54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54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54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54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54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54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54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54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54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54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54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54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54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54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54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54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54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54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54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54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54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54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54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54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54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54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54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54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54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54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54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54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54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54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54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54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54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54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54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54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54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54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54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54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54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54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54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54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54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54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54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54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54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54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54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54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54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54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54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54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54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54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54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54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54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54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54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54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54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54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54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54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54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54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54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54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54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54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54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54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54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54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54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54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54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54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54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54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54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54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54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54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54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54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54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54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54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54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54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54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54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54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54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54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54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54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54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54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54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54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54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54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54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54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54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54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54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54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54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54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54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54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54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54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54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54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54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54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54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54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54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54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54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54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54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54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54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54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54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54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54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54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54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54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54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54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54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54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54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54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54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54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54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54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54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54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54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54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54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54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54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54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54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54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54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54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54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54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54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54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54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54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54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54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54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54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54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54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54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54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54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54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54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54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54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54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54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54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54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54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54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54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54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54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54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54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54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54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54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54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54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54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54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54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54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54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54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54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54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54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54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54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54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54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54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54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54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54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54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54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54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54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54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54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54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54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54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54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54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54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54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54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54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54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54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54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54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54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54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54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54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54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54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54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54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54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54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54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54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54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54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54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54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54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54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54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54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54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54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54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54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54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54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54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54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54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54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54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54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54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54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54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54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54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54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54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54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54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54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54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54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54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54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54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54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54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54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54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54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54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54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54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54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54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54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54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54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54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54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54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54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54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54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54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54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54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54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54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54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54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54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54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54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54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54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54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54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54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54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54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54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54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54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54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54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54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54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54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54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54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54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54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54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54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54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54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54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54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54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54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54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54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54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54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54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54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54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54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54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54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54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54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54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54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54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54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54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54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54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54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54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54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54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54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54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54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54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54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54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54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54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54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54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54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54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54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54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54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54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54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54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54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54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54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54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54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54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54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54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54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54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54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54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54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54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54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54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54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54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54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54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54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54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54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54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54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54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54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54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54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54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54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54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54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54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54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54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54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54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54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54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54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54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54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54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54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54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54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54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54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54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54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54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54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54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54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54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54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54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54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54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54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54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54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54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54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54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54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54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54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54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54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54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54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54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54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54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54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54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54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54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54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54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54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54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54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54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54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54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54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54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54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54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54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54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54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54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54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54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54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54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54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54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54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54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54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54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54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54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54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54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54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54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54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54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54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54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54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54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54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54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54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54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54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54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54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54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54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54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54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54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54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54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54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54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54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54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54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54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54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54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54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54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54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54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54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54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54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54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54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54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54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54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54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54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54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54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54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54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54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54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54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54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54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54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54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54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54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54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54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54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54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54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54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54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54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54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54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54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54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54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54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54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54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54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54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54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54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54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54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54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54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54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54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54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54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54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54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54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54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54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54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54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54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54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54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54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54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54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54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54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54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54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54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54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54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54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54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54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54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54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54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54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54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54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54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54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54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54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54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54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54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54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54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54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54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54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54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54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54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54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54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54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54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54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54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54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54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54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54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54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54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54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54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54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54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54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54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54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54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54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</sheetData>
  <mergeCells count="22">
    <mergeCell ref="L10:L13"/>
    <mergeCell ref="L15:L18"/>
    <mergeCell ref="L20:L22"/>
    <mergeCell ref="L24:L26"/>
    <mergeCell ref="L28:L30"/>
    <mergeCell ref="L32:L34"/>
    <mergeCell ref="B15:B18"/>
    <mergeCell ref="B20:B22"/>
    <mergeCell ref="B24:B26"/>
    <mergeCell ref="B28:B30"/>
    <mergeCell ref="B32:B34"/>
    <mergeCell ref="B23:G23"/>
    <mergeCell ref="B27:G27"/>
    <mergeCell ref="B31:G31"/>
    <mergeCell ref="B35:G35"/>
    <mergeCell ref="B2:C2"/>
    <mergeCell ref="B4:B8"/>
    <mergeCell ref="L4:L8"/>
    <mergeCell ref="B9:G9"/>
    <mergeCell ref="B10:B13"/>
    <mergeCell ref="B14:G14"/>
    <mergeCell ref="B19:G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6.13"/>
    <col customWidth="1" min="4" max="4" width="34.0"/>
    <col customWidth="1" min="8" max="8" width="18.88"/>
    <col customWidth="1" min="12" max="12" width="19.75"/>
    <col customWidth="1" min="13" max="13" width="23.25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6"/>
      <c r="B2" s="37" t="s">
        <v>390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6"/>
      <c r="B3" s="99" t="s">
        <v>391</v>
      </c>
      <c r="C3" s="99" t="s">
        <v>392</v>
      </c>
      <c r="D3" s="99" t="s">
        <v>154</v>
      </c>
      <c r="E3" s="99" t="s">
        <v>327</v>
      </c>
      <c r="F3" s="99" t="s">
        <v>103</v>
      </c>
      <c r="G3" s="39" t="s">
        <v>104</v>
      </c>
      <c r="H3" s="99" t="s">
        <v>105</v>
      </c>
      <c r="I3" s="99" t="s">
        <v>106</v>
      </c>
      <c r="J3" s="99" t="s">
        <v>107</v>
      </c>
      <c r="K3" s="99" t="s">
        <v>393</v>
      </c>
      <c r="L3" s="99" t="s">
        <v>394</v>
      </c>
      <c r="M3" s="99" t="s">
        <v>395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6"/>
      <c r="B4" s="40" t="s">
        <v>68</v>
      </c>
      <c r="C4" s="31" t="s">
        <v>396</v>
      </c>
      <c r="D4" s="40" t="s">
        <v>397</v>
      </c>
      <c r="E4" s="40" t="s">
        <v>398</v>
      </c>
      <c r="F4" s="40"/>
      <c r="G4" s="40"/>
      <c r="H4" s="40">
        <v>45.0</v>
      </c>
      <c r="I4" s="40">
        <v>3.0</v>
      </c>
      <c r="J4" s="40">
        <v>40.0</v>
      </c>
      <c r="K4" s="40" t="s">
        <v>399</v>
      </c>
      <c r="L4" s="40" t="s">
        <v>400</v>
      </c>
      <c r="M4" s="40" t="s">
        <v>401</v>
      </c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16"/>
      <c r="B5" s="40" t="s">
        <v>75</v>
      </c>
      <c r="C5" s="31" t="s">
        <v>402</v>
      </c>
      <c r="D5" s="40" t="s">
        <v>403</v>
      </c>
      <c r="E5" s="40" t="s">
        <v>404</v>
      </c>
      <c r="F5" s="40" t="s">
        <v>117</v>
      </c>
      <c r="G5" s="40" t="s">
        <v>405</v>
      </c>
      <c r="H5" s="40">
        <v>60.0</v>
      </c>
      <c r="I5" s="40">
        <v>6.0</v>
      </c>
      <c r="J5" s="40">
        <v>40.0</v>
      </c>
      <c r="K5" s="40" t="s">
        <v>406</v>
      </c>
      <c r="L5" s="40" t="s">
        <v>407</v>
      </c>
      <c r="M5" s="40" t="s">
        <v>408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16"/>
      <c r="B6" s="40" t="s">
        <v>75</v>
      </c>
      <c r="C6" s="31" t="s">
        <v>409</v>
      </c>
      <c r="D6" s="40" t="s">
        <v>410</v>
      </c>
      <c r="E6" s="40" t="s">
        <v>404</v>
      </c>
      <c r="F6" s="40" t="s">
        <v>117</v>
      </c>
      <c r="G6" s="40" t="s">
        <v>405</v>
      </c>
      <c r="H6" s="40">
        <v>60.0</v>
      </c>
      <c r="I6" s="40">
        <v>6.0</v>
      </c>
      <c r="J6" s="40">
        <v>40.0</v>
      </c>
      <c r="K6" s="40" t="s">
        <v>406</v>
      </c>
      <c r="L6" s="40" t="s">
        <v>407</v>
      </c>
      <c r="M6" s="40" t="s">
        <v>408</v>
      </c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16"/>
      <c r="B7" s="40" t="s">
        <v>75</v>
      </c>
      <c r="C7" s="31" t="s">
        <v>409</v>
      </c>
      <c r="D7" s="40" t="s">
        <v>411</v>
      </c>
      <c r="E7" s="40" t="s">
        <v>404</v>
      </c>
      <c r="F7" s="40"/>
      <c r="G7" s="40"/>
      <c r="H7" s="40">
        <v>60.0</v>
      </c>
      <c r="I7" s="40">
        <v>6.0</v>
      </c>
      <c r="J7" s="40">
        <v>40.0</v>
      </c>
      <c r="K7" s="40" t="s">
        <v>406</v>
      </c>
      <c r="L7" s="40" t="s">
        <v>407</v>
      </c>
      <c r="M7" s="40" t="s">
        <v>408</v>
      </c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6"/>
      <c r="B8" s="49"/>
      <c r="C8" s="11"/>
      <c r="D8" s="11"/>
      <c r="E8" s="11"/>
      <c r="F8" s="11"/>
      <c r="G8" s="11"/>
      <c r="H8" s="11"/>
      <c r="I8" s="11"/>
      <c r="J8" s="11"/>
      <c r="K8" s="11"/>
      <c r="L8" s="12"/>
      <c r="M8" s="40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16"/>
      <c r="B9" s="40" t="s">
        <v>68</v>
      </c>
      <c r="C9" s="31" t="s">
        <v>412</v>
      </c>
      <c r="D9" s="40" t="s">
        <v>397</v>
      </c>
      <c r="E9" s="40" t="s">
        <v>398</v>
      </c>
      <c r="F9" s="40"/>
      <c r="G9" s="40"/>
      <c r="H9" s="40">
        <v>45.0</v>
      </c>
      <c r="I9" s="40">
        <v>3.0</v>
      </c>
      <c r="J9" s="40">
        <v>40.0</v>
      </c>
      <c r="K9" s="40" t="s">
        <v>400</v>
      </c>
      <c r="L9" s="40" t="s">
        <v>400</v>
      </c>
      <c r="M9" s="40" t="s">
        <v>401</v>
      </c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16"/>
      <c r="B10" s="40" t="s">
        <v>75</v>
      </c>
      <c r="C10" s="40" t="s">
        <v>413</v>
      </c>
      <c r="D10" s="40" t="s">
        <v>403</v>
      </c>
      <c r="E10" s="40" t="s">
        <v>404</v>
      </c>
      <c r="F10" s="40" t="s">
        <v>117</v>
      </c>
      <c r="G10" s="40" t="s">
        <v>405</v>
      </c>
      <c r="H10" s="40">
        <v>60.0</v>
      </c>
      <c r="I10" s="40">
        <v>6.0</v>
      </c>
      <c r="J10" s="40">
        <v>40.0</v>
      </c>
      <c r="K10" s="40" t="s">
        <v>406</v>
      </c>
      <c r="L10" s="40" t="s">
        <v>407</v>
      </c>
      <c r="M10" s="40" t="s">
        <v>408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16"/>
      <c r="B11" s="40" t="s">
        <v>82</v>
      </c>
      <c r="C11" s="40" t="s">
        <v>413</v>
      </c>
      <c r="D11" s="40" t="s">
        <v>414</v>
      </c>
      <c r="E11" s="40" t="s">
        <v>404</v>
      </c>
      <c r="F11" s="40"/>
      <c r="G11" s="40"/>
      <c r="H11" s="40">
        <v>60.0</v>
      </c>
      <c r="I11" s="40">
        <v>6.0</v>
      </c>
      <c r="J11" s="40">
        <v>40.0</v>
      </c>
      <c r="K11" s="40" t="s">
        <v>406</v>
      </c>
      <c r="L11" s="40" t="s">
        <v>407</v>
      </c>
      <c r="M11" s="40" t="s">
        <v>408</v>
      </c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6"/>
      <c r="B12" s="40" t="s">
        <v>75</v>
      </c>
      <c r="C12" s="40" t="s">
        <v>415</v>
      </c>
      <c r="D12" s="40" t="s">
        <v>410</v>
      </c>
      <c r="E12" s="40" t="s">
        <v>404</v>
      </c>
      <c r="F12" s="40" t="s">
        <v>117</v>
      </c>
      <c r="G12" s="40" t="s">
        <v>405</v>
      </c>
      <c r="H12" s="40">
        <v>60.0</v>
      </c>
      <c r="I12" s="40">
        <v>6.0</v>
      </c>
      <c r="J12" s="40">
        <v>40.0</v>
      </c>
      <c r="K12" s="40" t="s">
        <v>406</v>
      </c>
      <c r="L12" s="40" t="s">
        <v>407</v>
      </c>
      <c r="M12" s="40" t="s">
        <v>408</v>
      </c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16"/>
      <c r="B13" s="40" t="s">
        <v>75</v>
      </c>
      <c r="C13" s="40" t="s">
        <v>415</v>
      </c>
      <c r="D13" s="40" t="s">
        <v>411</v>
      </c>
      <c r="E13" s="40" t="s">
        <v>404</v>
      </c>
      <c r="F13" s="40"/>
      <c r="G13" s="40"/>
      <c r="H13" s="40">
        <v>60.0</v>
      </c>
      <c r="I13" s="40">
        <v>6.0</v>
      </c>
      <c r="J13" s="40">
        <v>40.0</v>
      </c>
      <c r="K13" s="40" t="s">
        <v>406</v>
      </c>
      <c r="L13" s="40" t="s">
        <v>407</v>
      </c>
      <c r="M13" s="40" t="s">
        <v>408</v>
      </c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16"/>
      <c r="B14" s="49"/>
      <c r="C14" s="11"/>
      <c r="D14" s="11"/>
      <c r="E14" s="11"/>
      <c r="F14" s="11"/>
      <c r="G14" s="11"/>
      <c r="H14" s="11"/>
      <c r="I14" s="11"/>
      <c r="J14" s="11"/>
      <c r="K14" s="11"/>
      <c r="L14" s="12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/>
      <c r="B15" s="16"/>
      <c r="C15" s="16"/>
      <c r="D15" s="16"/>
      <c r="E15" s="16"/>
      <c r="F15" s="16"/>
      <c r="G15" s="16"/>
      <c r="H15" s="100">
        <f>SUM(H5+H6+H10+H12)</f>
        <v>240</v>
      </c>
      <c r="I15" s="100"/>
      <c r="J15" s="101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6"/>
      <c r="B16" s="16"/>
      <c r="C16" s="16"/>
      <c r="D16" s="16"/>
      <c r="E16" s="16"/>
      <c r="F16" s="16"/>
      <c r="G16" s="16"/>
      <c r="H16" s="16"/>
      <c r="I16" s="101"/>
      <c r="J16" s="101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/>
      <c r="B17" s="16"/>
      <c r="C17" s="16"/>
      <c r="D17" s="16"/>
      <c r="E17" s="16"/>
      <c r="F17" s="16"/>
      <c r="G17" s="16"/>
      <c r="H17" s="16"/>
      <c r="I17" s="101"/>
      <c r="J17" s="101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6"/>
      <c r="B18" s="102" t="s">
        <v>101</v>
      </c>
      <c r="C18" s="102" t="s">
        <v>57</v>
      </c>
      <c r="D18" s="102" t="s">
        <v>416</v>
      </c>
      <c r="E18" s="102" t="s">
        <v>417</v>
      </c>
      <c r="F18" s="103"/>
      <c r="G18" s="103"/>
      <c r="H18" s="103"/>
      <c r="I18" s="103"/>
      <c r="J18" s="103"/>
      <c r="K18" s="103"/>
      <c r="L18" s="103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04" t="s">
        <v>418</v>
      </c>
      <c r="C19" s="105" t="s">
        <v>68</v>
      </c>
      <c r="D19" s="105" t="s">
        <v>419</v>
      </c>
      <c r="E19" s="106" t="s">
        <v>420</v>
      </c>
      <c r="F19" s="103"/>
      <c r="G19" s="103"/>
      <c r="H19" s="103"/>
      <c r="I19" s="103"/>
      <c r="J19" s="103"/>
      <c r="K19" s="103"/>
      <c r="L19" s="103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07" t="s">
        <v>418</v>
      </c>
      <c r="C20" s="40" t="s">
        <v>68</v>
      </c>
      <c r="D20" s="40" t="s">
        <v>421</v>
      </c>
      <c r="E20" s="108" t="s">
        <v>422</v>
      </c>
      <c r="F20" s="103"/>
      <c r="G20" s="103"/>
      <c r="H20" s="103"/>
      <c r="I20" s="103"/>
      <c r="J20" s="103"/>
      <c r="K20" s="103"/>
      <c r="L20" s="103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09" t="s">
        <v>418</v>
      </c>
      <c r="C21" s="110" t="s">
        <v>75</v>
      </c>
      <c r="D21" s="110" t="s">
        <v>423</v>
      </c>
      <c r="E21" s="111" t="s">
        <v>424</v>
      </c>
      <c r="F21" s="103"/>
      <c r="G21" s="103"/>
      <c r="H21" s="112" t="s">
        <v>425</v>
      </c>
      <c r="I21" s="103"/>
      <c r="J21" s="103"/>
      <c r="K21" s="103"/>
      <c r="L21" s="103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07" t="s">
        <v>418</v>
      </c>
      <c r="C22" s="40" t="s">
        <v>75</v>
      </c>
      <c r="D22" s="40" t="s">
        <v>426</v>
      </c>
      <c r="E22" s="108" t="s">
        <v>427</v>
      </c>
      <c r="F22" s="103"/>
      <c r="G22" s="103"/>
      <c r="H22" s="112" t="s">
        <v>428</v>
      </c>
      <c r="I22" s="103"/>
      <c r="J22" s="103"/>
      <c r="K22" s="103"/>
      <c r="L22" s="103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09" t="s">
        <v>418</v>
      </c>
      <c r="C23" s="110" t="s">
        <v>82</v>
      </c>
      <c r="D23" s="110" t="s">
        <v>429</v>
      </c>
      <c r="E23" s="111" t="s">
        <v>430</v>
      </c>
      <c r="F23" s="103"/>
      <c r="G23" s="103"/>
      <c r="H23" s="103"/>
      <c r="I23" s="103"/>
      <c r="J23" s="103"/>
      <c r="K23" s="103"/>
      <c r="L23" s="10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13" t="s">
        <v>418</v>
      </c>
      <c r="C24" s="114" t="s">
        <v>82</v>
      </c>
      <c r="D24" s="114" t="s">
        <v>431</v>
      </c>
      <c r="E24" s="115" t="s">
        <v>432</v>
      </c>
      <c r="F24" s="103"/>
      <c r="G24" s="103"/>
      <c r="H24" s="103"/>
      <c r="I24" s="103"/>
      <c r="J24" s="103"/>
      <c r="K24" s="103"/>
      <c r="L24" s="103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04" t="s">
        <v>433</v>
      </c>
      <c r="C25" s="105" t="s">
        <v>68</v>
      </c>
      <c r="D25" s="105" t="s">
        <v>434</v>
      </c>
      <c r="E25" s="106" t="s">
        <v>435</v>
      </c>
      <c r="F25" s="103"/>
      <c r="G25" s="103"/>
      <c r="H25" s="103"/>
      <c r="I25" s="103"/>
      <c r="J25" s="103"/>
      <c r="K25" s="103"/>
      <c r="L25" s="103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07" t="s">
        <v>433</v>
      </c>
      <c r="C26" s="40" t="s">
        <v>68</v>
      </c>
      <c r="D26" s="40" t="s">
        <v>436</v>
      </c>
      <c r="E26" s="108" t="s">
        <v>437</v>
      </c>
      <c r="F26" s="103"/>
      <c r="G26" s="103"/>
      <c r="H26" s="103"/>
      <c r="I26" s="103"/>
      <c r="J26" s="103"/>
      <c r="K26" s="103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07" t="s">
        <v>433</v>
      </c>
      <c r="C27" s="40" t="s">
        <v>75</v>
      </c>
      <c r="D27" s="40" t="s">
        <v>438</v>
      </c>
      <c r="E27" s="108" t="s">
        <v>439</v>
      </c>
      <c r="F27" s="103"/>
      <c r="G27" s="103"/>
      <c r="H27" s="103"/>
      <c r="I27" s="103"/>
      <c r="J27" s="103"/>
      <c r="K27" s="103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07" t="s">
        <v>433</v>
      </c>
      <c r="C28" s="40" t="s">
        <v>75</v>
      </c>
      <c r="D28" s="40" t="s">
        <v>440</v>
      </c>
      <c r="E28" s="108" t="s">
        <v>441</v>
      </c>
      <c r="F28" s="103"/>
      <c r="G28" s="103"/>
      <c r="H28" s="103"/>
      <c r="I28" s="103"/>
      <c r="J28" s="103"/>
      <c r="K28" s="103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09" t="s">
        <v>433</v>
      </c>
      <c r="C29" s="110" t="s">
        <v>82</v>
      </c>
      <c r="D29" s="110" t="s">
        <v>442</v>
      </c>
      <c r="E29" s="111" t="s">
        <v>443</v>
      </c>
      <c r="F29" s="103"/>
      <c r="G29" s="103"/>
      <c r="H29" s="103"/>
      <c r="I29" s="103"/>
      <c r="J29" s="103"/>
      <c r="K29" s="103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13" t="s">
        <v>433</v>
      </c>
      <c r="C30" s="114" t="s">
        <v>82</v>
      </c>
      <c r="D30" s="114" t="s">
        <v>444</v>
      </c>
      <c r="E30" s="115" t="s">
        <v>445</v>
      </c>
      <c r="F30" s="103"/>
      <c r="G30" s="103"/>
      <c r="H30" s="103"/>
      <c r="I30" s="103"/>
      <c r="J30" s="103"/>
      <c r="K30" s="103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04" t="s">
        <v>446</v>
      </c>
      <c r="C31" s="105" t="s">
        <v>68</v>
      </c>
      <c r="D31" s="105" t="s">
        <v>447</v>
      </c>
      <c r="E31" s="106" t="s">
        <v>448</v>
      </c>
      <c r="F31" s="103"/>
      <c r="G31" s="103"/>
      <c r="H31" s="103"/>
      <c r="I31" s="103"/>
      <c r="J31" s="103"/>
      <c r="K31" s="103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07" t="s">
        <v>446</v>
      </c>
      <c r="C32" s="40" t="s">
        <v>68</v>
      </c>
      <c r="D32" s="40" t="s">
        <v>449</v>
      </c>
      <c r="E32" s="108" t="s">
        <v>450</v>
      </c>
      <c r="F32" s="103"/>
      <c r="G32" s="103"/>
      <c r="H32" s="103"/>
      <c r="I32" s="103"/>
      <c r="J32" s="103"/>
      <c r="K32" s="103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07" t="s">
        <v>446</v>
      </c>
      <c r="C33" s="40" t="s">
        <v>75</v>
      </c>
      <c r="D33" s="40" t="s">
        <v>451</v>
      </c>
      <c r="E33" s="108" t="s">
        <v>452</v>
      </c>
      <c r="F33" s="103"/>
      <c r="G33" s="103"/>
      <c r="H33" s="103"/>
      <c r="I33" s="103"/>
      <c r="J33" s="103"/>
      <c r="K33" s="103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07" t="s">
        <v>446</v>
      </c>
      <c r="C34" s="40" t="s">
        <v>75</v>
      </c>
      <c r="D34" s="40" t="s">
        <v>453</v>
      </c>
      <c r="E34" s="108" t="s">
        <v>454</v>
      </c>
      <c r="F34" s="103"/>
      <c r="G34" s="103"/>
      <c r="H34" s="103"/>
      <c r="I34" s="103"/>
      <c r="J34" s="103"/>
      <c r="K34" s="103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09" t="s">
        <v>446</v>
      </c>
      <c r="C35" s="110" t="s">
        <v>82</v>
      </c>
      <c r="D35" s="110" t="s">
        <v>455</v>
      </c>
      <c r="E35" s="111" t="s">
        <v>456</v>
      </c>
      <c r="F35" s="103"/>
      <c r="G35" s="103"/>
      <c r="H35" s="103"/>
      <c r="I35" s="103"/>
      <c r="J35" s="103"/>
      <c r="K35" s="103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16" t="s">
        <v>446</v>
      </c>
      <c r="C36" s="117" t="s">
        <v>82</v>
      </c>
      <c r="D36" s="117" t="s">
        <v>457</v>
      </c>
      <c r="E36" s="118" t="s">
        <v>458</v>
      </c>
      <c r="F36" s="103"/>
      <c r="G36" s="103"/>
      <c r="H36" s="103"/>
      <c r="I36" s="103"/>
      <c r="J36" s="103"/>
      <c r="K36" s="103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01"/>
      <c r="J37" s="101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99" t="s">
        <v>391</v>
      </c>
      <c r="C38" s="99" t="s">
        <v>392</v>
      </c>
      <c r="D38" s="99" t="s">
        <v>154</v>
      </c>
      <c r="E38" s="99" t="s">
        <v>459</v>
      </c>
      <c r="F38" s="99" t="s">
        <v>460</v>
      </c>
      <c r="G38" s="99" t="s">
        <v>461</v>
      </c>
      <c r="H38" s="99" t="s">
        <v>462</v>
      </c>
      <c r="I38" s="99" t="s">
        <v>463</v>
      </c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32.25" customHeight="1">
      <c r="A39" s="16"/>
      <c r="B39" s="119" t="s">
        <v>68</v>
      </c>
      <c r="C39" s="120" t="s">
        <v>396</v>
      </c>
      <c r="D39" s="119" t="s">
        <v>397</v>
      </c>
      <c r="E39" s="40"/>
      <c r="F39" s="40"/>
      <c r="G39" s="40"/>
      <c r="H39" s="40"/>
      <c r="I39" s="40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40" t="s">
        <v>75</v>
      </c>
      <c r="C40" s="31" t="s">
        <v>402</v>
      </c>
      <c r="D40" s="74" t="s">
        <v>403</v>
      </c>
      <c r="E40" s="74" t="s">
        <v>464</v>
      </c>
      <c r="F40" s="40" t="s">
        <v>419</v>
      </c>
      <c r="G40" s="40" t="s">
        <v>434</v>
      </c>
      <c r="H40" s="40" t="s">
        <v>436</v>
      </c>
      <c r="I40" s="40" t="s">
        <v>447</v>
      </c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40" t="s">
        <v>75</v>
      </c>
      <c r="C41" s="31" t="s">
        <v>409</v>
      </c>
      <c r="D41" s="121" t="s">
        <v>410</v>
      </c>
      <c r="E41" s="121" t="s">
        <v>465</v>
      </c>
      <c r="F41" s="40" t="s">
        <v>449</v>
      </c>
      <c r="G41" s="40" t="s">
        <v>453</v>
      </c>
      <c r="H41" s="40" t="s">
        <v>438</v>
      </c>
      <c r="I41" s="40" t="s">
        <v>426</v>
      </c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40" t="s">
        <v>75</v>
      </c>
      <c r="C42" s="31" t="s">
        <v>409</v>
      </c>
      <c r="D42" s="40" t="s">
        <v>411</v>
      </c>
      <c r="E42" s="40" t="s">
        <v>466</v>
      </c>
      <c r="F42" s="40" t="s">
        <v>436</v>
      </c>
      <c r="G42" s="40" t="s">
        <v>438</v>
      </c>
      <c r="H42" s="40" t="s">
        <v>440</v>
      </c>
      <c r="I42" s="40" t="s">
        <v>451</v>
      </c>
      <c r="J42" s="16"/>
      <c r="K42" s="40" t="s">
        <v>467</v>
      </c>
      <c r="L42" s="40" t="s">
        <v>449</v>
      </c>
      <c r="M42" s="40" t="s">
        <v>440</v>
      </c>
      <c r="N42" s="40" t="s">
        <v>442</v>
      </c>
      <c r="O42" s="40" t="s">
        <v>455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19" t="s">
        <v>68</v>
      </c>
      <c r="C43" s="120" t="s">
        <v>412</v>
      </c>
      <c r="D43" s="119" t="s">
        <v>397</v>
      </c>
      <c r="E43" s="40"/>
      <c r="F43" s="40"/>
      <c r="G43" s="40"/>
      <c r="H43" s="40"/>
      <c r="I43" s="40"/>
      <c r="J43" s="16"/>
      <c r="K43" s="40" t="s">
        <v>468</v>
      </c>
      <c r="L43" s="40" t="s">
        <v>449</v>
      </c>
      <c r="M43" s="40" t="s">
        <v>453</v>
      </c>
      <c r="N43" s="40" t="s">
        <v>438</v>
      </c>
      <c r="O43" s="40" t="s">
        <v>426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40" t="s">
        <v>75</v>
      </c>
      <c r="C44" s="40" t="s">
        <v>413</v>
      </c>
      <c r="D44" s="74" t="s">
        <v>403</v>
      </c>
      <c r="E44" s="74" t="s">
        <v>464</v>
      </c>
      <c r="F44" s="40" t="s">
        <v>419</v>
      </c>
      <c r="G44" s="40" t="s">
        <v>434</v>
      </c>
      <c r="H44" s="40" t="s">
        <v>436</v>
      </c>
      <c r="I44" s="40" t="s">
        <v>447</v>
      </c>
      <c r="J44" s="16"/>
      <c r="K44" s="40" t="s">
        <v>467</v>
      </c>
      <c r="L44" s="40" t="s">
        <v>449</v>
      </c>
      <c r="M44" s="40" t="s">
        <v>440</v>
      </c>
      <c r="N44" s="40" t="s">
        <v>442</v>
      </c>
      <c r="O44" s="40" t="s">
        <v>455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40" t="s">
        <v>82</v>
      </c>
      <c r="C45" s="40" t="s">
        <v>413</v>
      </c>
      <c r="D45" s="74" t="s">
        <v>414</v>
      </c>
      <c r="E45" s="74" t="s">
        <v>469</v>
      </c>
      <c r="F45" s="40" t="s">
        <v>421</v>
      </c>
      <c r="G45" s="40" t="s">
        <v>426</v>
      </c>
      <c r="H45" s="40" t="s">
        <v>431</v>
      </c>
      <c r="I45" s="40" t="s">
        <v>444</v>
      </c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40" t="s">
        <v>75</v>
      </c>
      <c r="C46" s="40" t="s">
        <v>415</v>
      </c>
      <c r="D46" s="121" t="s">
        <v>410</v>
      </c>
      <c r="E46" s="121" t="s">
        <v>465</v>
      </c>
      <c r="F46" s="40" t="s">
        <v>449</v>
      </c>
      <c r="G46" s="40" t="s">
        <v>453</v>
      </c>
      <c r="H46" s="40" t="s">
        <v>438</v>
      </c>
      <c r="I46" s="40" t="s">
        <v>426</v>
      </c>
      <c r="J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40" t="s">
        <v>75</v>
      </c>
      <c r="C47" s="40" t="s">
        <v>415</v>
      </c>
      <c r="D47" s="40" t="s">
        <v>411</v>
      </c>
      <c r="E47" s="40" t="s">
        <v>466</v>
      </c>
      <c r="F47" s="40" t="s">
        <v>436</v>
      </c>
      <c r="G47" s="40" t="s">
        <v>438</v>
      </c>
      <c r="H47" s="40" t="s">
        <v>440</v>
      </c>
      <c r="I47" s="40" t="s">
        <v>451</v>
      </c>
      <c r="J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J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01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16"/>
      <c r="E55" s="16"/>
      <c r="F55" s="16"/>
      <c r="G55" s="16"/>
      <c r="H55" s="16"/>
      <c r="I55" s="101"/>
      <c r="J55" s="101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16"/>
      <c r="E56" s="16"/>
      <c r="F56" s="16"/>
      <c r="G56" s="16"/>
      <c r="H56" s="16"/>
      <c r="I56" s="101"/>
      <c r="J56" s="101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16"/>
      <c r="E57" s="16"/>
      <c r="F57" s="16"/>
      <c r="G57" s="16"/>
      <c r="H57" s="16"/>
      <c r="I57" s="101"/>
      <c r="J57" s="101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16"/>
      <c r="E58" s="16"/>
      <c r="F58" s="16"/>
      <c r="G58" s="16"/>
      <c r="H58" s="16"/>
      <c r="I58" s="101"/>
      <c r="J58" s="101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16"/>
      <c r="E59" s="16"/>
      <c r="F59" s="16"/>
      <c r="G59" s="16"/>
      <c r="H59" s="16"/>
      <c r="I59" s="101"/>
      <c r="J59" s="101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16"/>
      <c r="E60" s="16"/>
      <c r="F60" s="16"/>
      <c r="G60" s="16"/>
      <c r="H60" s="16"/>
      <c r="I60" s="101"/>
      <c r="J60" s="101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16"/>
      <c r="E61" s="16"/>
      <c r="F61" s="16"/>
      <c r="G61" s="16"/>
      <c r="H61" s="16"/>
      <c r="I61" s="101"/>
      <c r="J61" s="101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16"/>
      <c r="E62" s="16"/>
      <c r="F62" s="16"/>
      <c r="G62" s="16"/>
      <c r="H62" s="16"/>
      <c r="I62" s="101"/>
      <c r="J62" s="101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16"/>
      <c r="E63" s="16"/>
      <c r="F63" s="16"/>
      <c r="G63" s="16"/>
      <c r="H63" s="16"/>
      <c r="I63" s="101"/>
      <c r="J63" s="101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6"/>
      <c r="G64" s="16"/>
      <c r="H64" s="16"/>
      <c r="I64" s="101"/>
      <c r="J64" s="101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01"/>
      <c r="J65" s="101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01"/>
      <c r="J66" s="101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01"/>
      <c r="J67" s="101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01"/>
      <c r="J68" s="101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01"/>
      <c r="J69" s="101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01"/>
      <c r="J70" s="101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01"/>
      <c r="J71" s="101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01"/>
      <c r="J72" s="101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01"/>
      <c r="J73" s="101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01"/>
      <c r="J74" s="101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01"/>
      <c r="J75" s="101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01"/>
      <c r="J76" s="101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01"/>
      <c r="J77" s="101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01"/>
      <c r="J78" s="101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01"/>
      <c r="J79" s="101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01"/>
      <c r="J80" s="101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01"/>
      <c r="J81" s="101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01"/>
      <c r="J82" s="101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01"/>
      <c r="J83" s="101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01"/>
      <c r="J84" s="101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01"/>
      <c r="J85" s="101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01"/>
      <c r="J86" s="101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01"/>
      <c r="J87" s="101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01"/>
      <c r="J88" s="101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01"/>
      <c r="J89" s="101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01"/>
      <c r="J90" s="101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01"/>
      <c r="J91" s="101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01"/>
      <c r="J92" s="101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01"/>
      <c r="J93" s="101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01"/>
      <c r="J94" s="101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01"/>
      <c r="J95" s="101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01"/>
      <c r="J96" s="101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01"/>
      <c r="J97" s="101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01"/>
      <c r="J98" s="101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01"/>
      <c r="J99" s="101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01"/>
      <c r="J100" s="101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01"/>
      <c r="J101" s="101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01"/>
      <c r="J102" s="101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01"/>
      <c r="J103" s="101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01"/>
      <c r="J104" s="101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01"/>
      <c r="J105" s="101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01"/>
      <c r="J106" s="101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01"/>
      <c r="J107" s="101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01"/>
      <c r="J108" s="101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01"/>
      <c r="J109" s="101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01"/>
      <c r="J110" s="101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01"/>
      <c r="J111" s="101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01"/>
      <c r="J112" s="101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01"/>
      <c r="J113" s="101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01"/>
      <c r="J114" s="101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01"/>
      <c r="J115" s="101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01"/>
      <c r="J116" s="101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01"/>
      <c r="J117" s="101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01"/>
      <c r="J118" s="101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01"/>
      <c r="J119" s="101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01"/>
      <c r="J120" s="101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01"/>
      <c r="J121" s="101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01"/>
      <c r="J122" s="101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01"/>
      <c r="J123" s="101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01"/>
      <c r="J124" s="101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01"/>
      <c r="J125" s="101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01"/>
      <c r="J126" s="101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01"/>
      <c r="J127" s="101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01"/>
      <c r="J128" s="101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01"/>
      <c r="J129" s="101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01"/>
      <c r="J130" s="101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01"/>
      <c r="J131" s="101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01"/>
      <c r="J132" s="101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01"/>
      <c r="J133" s="101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01"/>
      <c r="J134" s="101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01"/>
      <c r="J135" s="101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01"/>
      <c r="J136" s="101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01"/>
      <c r="J137" s="101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01"/>
      <c r="J138" s="101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01"/>
      <c r="J139" s="101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01"/>
      <c r="J140" s="101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01"/>
      <c r="J141" s="101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01"/>
      <c r="J142" s="101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01"/>
      <c r="J143" s="101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01"/>
      <c r="J144" s="101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01"/>
      <c r="J145" s="101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01"/>
      <c r="J146" s="101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01"/>
      <c r="J147" s="101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01"/>
      <c r="J148" s="101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01"/>
      <c r="J149" s="101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01"/>
      <c r="J150" s="101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01"/>
      <c r="J151" s="101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01"/>
      <c r="J152" s="101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01"/>
      <c r="J153" s="101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01"/>
      <c r="J154" s="101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01"/>
      <c r="J155" s="101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01"/>
      <c r="J156" s="101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01"/>
      <c r="J157" s="101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01"/>
      <c r="J158" s="101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01"/>
      <c r="J159" s="101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01"/>
      <c r="J160" s="101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01"/>
      <c r="J161" s="101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01"/>
      <c r="J162" s="101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01"/>
      <c r="J163" s="101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01"/>
      <c r="J164" s="101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01"/>
      <c r="J165" s="54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54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54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54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54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54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54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54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54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54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54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54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54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54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54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54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54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54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54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54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54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54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54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54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54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54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54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54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54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54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54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54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54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54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54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54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54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54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54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54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54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54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54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54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54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54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54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54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54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54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54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54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54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54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54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54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54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54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54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54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54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54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54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54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54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54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54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54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54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54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54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54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54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54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54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54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54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54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54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54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54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54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54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54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54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54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54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54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54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54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54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54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54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54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54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54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54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54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54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54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54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54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54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54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54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54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54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54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54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54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54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54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54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54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54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54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54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54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54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54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54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54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54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54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54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54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54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54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54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54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54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54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54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54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54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54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54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54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54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54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54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54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54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54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54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54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54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54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54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54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54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54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54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54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54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54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54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54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54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54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54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54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54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54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54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54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54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54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54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54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54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54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54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54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54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54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54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54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54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54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54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54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54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54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54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54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54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54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54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54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54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54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54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54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54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54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54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54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54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54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54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54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54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54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54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54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54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54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54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54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54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54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54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54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54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54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54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54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54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54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54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54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54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54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54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54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54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54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54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54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54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54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54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54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54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54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54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54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54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54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54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54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54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54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54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54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54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54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54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54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54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54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54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54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54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54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54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54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54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54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54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54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54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54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54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54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54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54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54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54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54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54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54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54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54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54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54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54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54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54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54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54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54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54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54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54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54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54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54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54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54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54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54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54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54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54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54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54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54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54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54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54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54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54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54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54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54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54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54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54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54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54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54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54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54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54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54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54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54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54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54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54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54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54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54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54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54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54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54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54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54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54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54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54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54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54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54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54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54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54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54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54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54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54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54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54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54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54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54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54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54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54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54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54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54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54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54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54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54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54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54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54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54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54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54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54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54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54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54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54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54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54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54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54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54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54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54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54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54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54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54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54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54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54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54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54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54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54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54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54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54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54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54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54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54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54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54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54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54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54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54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54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54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54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54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54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54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54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54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54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54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54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54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54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54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54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54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54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54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54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54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54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54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54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54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54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54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54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54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54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54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54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54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54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54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54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54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54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54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54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54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54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54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54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54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54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54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54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54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54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54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54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54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54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54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54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54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54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54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54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54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54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54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54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54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54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54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54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54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54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54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54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54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54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54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54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54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54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54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54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54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54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54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54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54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54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54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54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54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54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54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54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54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54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54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54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54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54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54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54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54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54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54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54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54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54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54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54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54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54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54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54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54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54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54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54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54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54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54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54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54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54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54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54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54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54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54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54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54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54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54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54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54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54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54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54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54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54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54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54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54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54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54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54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54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54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54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54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54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54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54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54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54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54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54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54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54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54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54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54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54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54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54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54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54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54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54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54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54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54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54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54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54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54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54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54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54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54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54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54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54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54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54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54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54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54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54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54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54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54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54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54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54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54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54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54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54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54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54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54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54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54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54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54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54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54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54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54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54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54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54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54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54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54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54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54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54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54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54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54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54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54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54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54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54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54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54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54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54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54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54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54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54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54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54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54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54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54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54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54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54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54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54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54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54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54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54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54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54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54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54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54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54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54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54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54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54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54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54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54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54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54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54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54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54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54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54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54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54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54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54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54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54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54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54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54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54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54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64"/>
      <c r="B843" s="64"/>
      <c r="C843" s="64"/>
      <c r="D843" s="64"/>
      <c r="E843" s="16"/>
      <c r="F843" s="16"/>
      <c r="G843" s="16"/>
      <c r="H843" s="16"/>
      <c r="I843" s="16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>
      <c r="A857" s="64"/>
      <c r="B857" s="64"/>
      <c r="C857" s="64"/>
      <c r="D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</sheetData>
  <mergeCells count="3">
    <mergeCell ref="B2:C2"/>
    <mergeCell ref="B8:L8"/>
    <mergeCell ref="B14:L1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6.13"/>
    <col customWidth="1" min="4" max="4" width="32.63"/>
    <col customWidth="1" min="5" max="5" width="26.5"/>
    <col customWidth="1" min="6" max="6" width="15.5"/>
    <col customWidth="1" min="7" max="7" width="18.88"/>
    <col customWidth="1" min="11" max="11" width="17.75"/>
    <col customWidth="1" min="12" max="12" width="20.88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37" t="s">
        <v>470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6"/>
      <c r="B3" s="122" t="s">
        <v>57</v>
      </c>
      <c r="C3" s="99" t="s">
        <v>392</v>
      </c>
      <c r="D3" s="122" t="s">
        <v>102</v>
      </c>
      <c r="E3" s="99" t="s">
        <v>327</v>
      </c>
      <c r="F3" s="99" t="s">
        <v>103</v>
      </c>
      <c r="G3" s="39" t="s">
        <v>104</v>
      </c>
      <c r="H3" s="99" t="s">
        <v>105</v>
      </c>
      <c r="I3" s="99" t="s">
        <v>106</v>
      </c>
      <c r="J3" s="99" t="s">
        <v>107</v>
      </c>
      <c r="K3" s="99" t="s">
        <v>471</v>
      </c>
      <c r="L3" s="99" t="s">
        <v>109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6"/>
      <c r="B4" s="48" t="s">
        <v>472</v>
      </c>
      <c r="C4" s="48" t="s">
        <v>473</v>
      </c>
      <c r="D4" s="123" t="s">
        <v>474</v>
      </c>
      <c r="E4" s="124" t="s">
        <v>475</v>
      </c>
      <c r="F4" s="48" t="s">
        <v>476</v>
      </c>
      <c r="G4" s="40" t="s">
        <v>477</v>
      </c>
      <c r="H4" s="124">
        <v>10.0</v>
      </c>
      <c r="I4" s="55">
        <v>3.0</v>
      </c>
      <c r="J4" s="55"/>
      <c r="K4" s="55" t="s">
        <v>478</v>
      </c>
      <c r="L4" s="41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/>
      <c r="B5" s="30"/>
      <c r="C5" s="30"/>
      <c r="D5" s="124" t="s">
        <v>479</v>
      </c>
      <c r="E5" s="124" t="s">
        <v>475</v>
      </c>
      <c r="F5" s="30"/>
      <c r="G5" s="40"/>
      <c r="H5" s="124">
        <v>10.0</v>
      </c>
      <c r="I5" s="30"/>
      <c r="J5" s="30"/>
      <c r="K5" s="30"/>
      <c r="L5" s="41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/>
      <c r="B6" s="23"/>
      <c r="C6" s="23"/>
      <c r="D6" s="123" t="s">
        <v>480</v>
      </c>
      <c r="E6" s="123" t="s">
        <v>481</v>
      </c>
      <c r="F6" s="23"/>
      <c r="G6" s="40"/>
      <c r="H6" s="124">
        <v>25.0</v>
      </c>
      <c r="I6" s="23"/>
      <c r="J6" s="23"/>
      <c r="K6" s="23"/>
      <c r="L6" s="41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49"/>
      <c r="C7" s="57"/>
      <c r="D7" s="57"/>
      <c r="E7" s="57"/>
      <c r="F7" s="57"/>
      <c r="G7" s="57"/>
      <c r="H7" s="57">
        <f>SUM(H4:H6)</f>
        <v>45</v>
      </c>
      <c r="I7" s="57"/>
      <c r="J7" s="57"/>
      <c r="K7" s="57"/>
      <c r="L7" s="58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85" t="s">
        <v>482</v>
      </c>
      <c r="C8" s="85" t="s">
        <v>483</v>
      </c>
      <c r="D8" s="125" t="s">
        <v>484</v>
      </c>
      <c r="E8" s="126" t="s">
        <v>485</v>
      </c>
      <c r="F8" s="127" t="s">
        <v>117</v>
      </c>
      <c r="G8" s="44"/>
      <c r="H8" s="128">
        <v>45.0</v>
      </c>
      <c r="I8" s="59">
        <v>9.0</v>
      </c>
      <c r="J8" s="129"/>
      <c r="K8" s="80" t="s">
        <v>486</v>
      </c>
      <c r="L8" s="41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30"/>
      <c r="C9" s="30"/>
      <c r="D9" s="130" t="s">
        <v>487</v>
      </c>
      <c r="E9" s="126" t="s">
        <v>485</v>
      </c>
      <c r="F9" s="30"/>
      <c r="G9" s="44"/>
      <c r="H9" s="128">
        <v>20.0</v>
      </c>
      <c r="I9" s="30"/>
      <c r="J9" s="30"/>
      <c r="K9" s="30"/>
      <c r="L9" s="41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30"/>
      <c r="C10" s="30"/>
      <c r="D10" s="130" t="s">
        <v>488</v>
      </c>
      <c r="E10" s="130" t="s">
        <v>489</v>
      </c>
      <c r="F10" s="30"/>
      <c r="G10" s="44"/>
      <c r="H10" s="128">
        <v>10.0</v>
      </c>
      <c r="I10" s="30"/>
      <c r="J10" s="30"/>
      <c r="K10" s="30"/>
      <c r="L10" s="41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30"/>
      <c r="C11" s="30"/>
      <c r="D11" s="125" t="s">
        <v>490</v>
      </c>
      <c r="E11" s="130" t="s">
        <v>481</v>
      </c>
      <c r="F11" s="30"/>
      <c r="G11" s="44"/>
      <c r="H11" s="128">
        <v>10.0</v>
      </c>
      <c r="I11" s="30"/>
      <c r="J11" s="30"/>
      <c r="K11" s="30"/>
      <c r="L11" s="41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30"/>
      <c r="C12" s="30"/>
      <c r="D12" s="125" t="s">
        <v>491</v>
      </c>
      <c r="E12" s="130" t="s">
        <v>481</v>
      </c>
      <c r="F12" s="30"/>
      <c r="G12" s="44"/>
      <c r="H12" s="128">
        <v>25.0</v>
      </c>
      <c r="I12" s="30"/>
      <c r="J12" s="30"/>
      <c r="K12" s="30"/>
      <c r="L12" s="41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23"/>
      <c r="C13" s="23"/>
      <c r="D13" s="125" t="s">
        <v>492</v>
      </c>
      <c r="E13" s="130" t="s">
        <v>481</v>
      </c>
      <c r="F13" s="23"/>
      <c r="G13" s="44"/>
      <c r="H13" s="128">
        <v>25.0</v>
      </c>
      <c r="I13" s="23"/>
      <c r="J13" s="23"/>
      <c r="K13" s="23"/>
      <c r="L13" s="41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49"/>
      <c r="C14" s="57"/>
      <c r="D14" s="57"/>
      <c r="E14" s="57"/>
      <c r="F14" s="57"/>
      <c r="G14" s="57"/>
      <c r="H14" s="57">
        <f>SUM(H8:H13)</f>
        <v>135</v>
      </c>
      <c r="I14" s="57"/>
      <c r="J14" s="57"/>
      <c r="K14" s="57"/>
      <c r="L14" s="58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85" t="s">
        <v>493</v>
      </c>
      <c r="C15" s="85" t="s">
        <v>483</v>
      </c>
      <c r="D15" s="130" t="s">
        <v>494</v>
      </c>
      <c r="E15" s="130" t="s">
        <v>495</v>
      </c>
      <c r="F15" s="52" t="s">
        <v>117</v>
      </c>
      <c r="G15" s="44"/>
      <c r="H15" s="126">
        <v>45.0</v>
      </c>
      <c r="I15" s="44">
        <v>3.0</v>
      </c>
      <c r="J15" s="45"/>
      <c r="K15" s="80" t="s">
        <v>496</v>
      </c>
      <c r="L15" s="47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30"/>
      <c r="C16" s="30"/>
      <c r="D16" s="130" t="s">
        <v>497</v>
      </c>
      <c r="E16" s="130" t="s">
        <v>495</v>
      </c>
      <c r="F16" s="52" t="s">
        <v>117</v>
      </c>
      <c r="G16" s="44"/>
      <c r="H16" s="126">
        <v>45.0</v>
      </c>
      <c r="I16" s="44">
        <v>3.0</v>
      </c>
      <c r="J16" s="45"/>
      <c r="K16" s="30"/>
      <c r="L16" s="47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30"/>
      <c r="C17" s="30"/>
      <c r="D17" s="125" t="s">
        <v>498</v>
      </c>
      <c r="E17" s="130" t="s">
        <v>495</v>
      </c>
      <c r="F17" s="52" t="s">
        <v>117</v>
      </c>
      <c r="G17" s="44"/>
      <c r="H17" s="126">
        <v>45.0</v>
      </c>
      <c r="I17" s="44">
        <v>3.0</v>
      </c>
      <c r="J17" s="45"/>
      <c r="K17" s="30"/>
      <c r="L17" s="47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30"/>
      <c r="C18" s="30"/>
      <c r="D18" s="125" t="s">
        <v>499</v>
      </c>
      <c r="E18" s="130" t="s">
        <v>495</v>
      </c>
      <c r="F18" s="52" t="s">
        <v>117</v>
      </c>
      <c r="G18" s="44"/>
      <c r="H18" s="126">
        <v>45.0</v>
      </c>
      <c r="I18" s="44">
        <v>3.0</v>
      </c>
      <c r="J18" s="45"/>
      <c r="K18" s="30"/>
      <c r="L18" s="47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30"/>
      <c r="C19" s="30"/>
      <c r="D19" s="131" t="s">
        <v>500</v>
      </c>
      <c r="E19" s="132" t="s">
        <v>481</v>
      </c>
      <c r="F19" s="46" t="s">
        <v>501</v>
      </c>
      <c r="G19" s="47"/>
      <c r="H19" s="131">
        <v>3.0</v>
      </c>
      <c r="I19" s="47"/>
      <c r="J19" s="47"/>
      <c r="K19" s="30"/>
      <c r="L19" s="47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30"/>
      <c r="C20" s="30"/>
      <c r="D20" s="131" t="s">
        <v>502</v>
      </c>
      <c r="E20" s="132" t="s">
        <v>495</v>
      </c>
      <c r="F20" s="46" t="s">
        <v>501</v>
      </c>
      <c r="G20" s="47"/>
      <c r="H20" s="131">
        <v>7.0</v>
      </c>
      <c r="I20" s="47"/>
      <c r="J20" s="47"/>
      <c r="K20" s="30"/>
      <c r="L20" s="47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30"/>
      <c r="C21" s="30"/>
      <c r="D21" s="131" t="s">
        <v>503</v>
      </c>
      <c r="E21" s="132" t="s">
        <v>495</v>
      </c>
      <c r="F21" s="46" t="s">
        <v>501</v>
      </c>
      <c r="G21" s="47"/>
      <c r="H21" s="131">
        <v>7.0</v>
      </c>
      <c r="I21" s="47"/>
      <c r="J21" s="47"/>
      <c r="K21" s="30"/>
      <c r="L21" s="47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30"/>
      <c r="C22" s="30"/>
      <c r="D22" s="131" t="s">
        <v>504</v>
      </c>
      <c r="E22" s="132" t="s">
        <v>495</v>
      </c>
      <c r="F22" s="46" t="s">
        <v>501</v>
      </c>
      <c r="G22" s="47"/>
      <c r="H22" s="131">
        <v>7.0</v>
      </c>
      <c r="I22" s="47"/>
      <c r="J22" s="47"/>
      <c r="K22" s="30"/>
      <c r="L22" s="47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30"/>
      <c r="C23" s="30"/>
      <c r="D23" s="130" t="s">
        <v>505</v>
      </c>
      <c r="E23" s="130" t="s">
        <v>495</v>
      </c>
      <c r="F23" s="44" t="s">
        <v>117</v>
      </c>
      <c r="G23" s="45"/>
      <c r="H23" s="126">
        <v>45.0</v>
      </c>
      <c r="I23" s="44"/>
      <c r="J23" s="45"/>
      <c r="K23" s="30"/>
      <c r="L23" s="47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30"/>
      <c r="C24" s="30"/>
      <c r="D24" s="133" t="s">
        <v>506</v>
      </c>
      <c r="E24" s="130" t="s">
        <v>481</v>
      </c>
      <c r="F24" s="44" t="s">
        <v>117</v>
      </c>
      <c r="G24" s="45"/>
      <c r="H24" s="126">
        <v>45.0</v>
      </c>
      <c r="I24" s="44"/>
      <c r="J24" s="45"/>
      <c r="K24" s="30"/>
      <c r="L24" s="47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23"/>
      <c r="C25" s="23"/>
      <c r="D25" s="125" t="s">
        <v>507</v>
      </c>
      <c r="E25" s="130" t="s">
        <v>481</v>
      </c>
      <c r="F25" s="44" t="s">
        <v>117</v>
      </c>
      <c r="G25" s="45"/>
      <c r="H25" s="126">
        <v>45.0</v>
      </c>
      <c r="I25" s="44"/>
      <c r="J25" s="45"/>
      <c r="K25" s="23"/>
      <c r="L25" s="47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49"/>
      <c r="C26" s="57"/>
      <c r="D26" s="57"/>
      <c r="E26" s="57"/>
      <c r="F26" s="57"/>
      <c r="G26" s="57"/>
      <c r="H26" s="57">
        <f>SUM(H15+H16+H17+H18+H23+H24+H25)</f>
        <v>315</v>
      </c>
      <c r="I26" s="57"/>
      <c r="J26" s="57"/>
      <c r="K26" s="57"/>
      <c r="L26" s="58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68">
        <f>SUM(H7+H14+H26)</f>
        <v>495</v>
      </c>
      <c r="I27" s="101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01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01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01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01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01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01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01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01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01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01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01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01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01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01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01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01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01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01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01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01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01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01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01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01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01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01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01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01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01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01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01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01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01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01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01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01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01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01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01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01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01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01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01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01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01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01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01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01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01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01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01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01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01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54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54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54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54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54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54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54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54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54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54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54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54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54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54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54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54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54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54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54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54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54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54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54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54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54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54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54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54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54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54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54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54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54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54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54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54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54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54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54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54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54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54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54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54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54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54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54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54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54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54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54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54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54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54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54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54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54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54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54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54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54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54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54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54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54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54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54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54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54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54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54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54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54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54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54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54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54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54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54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54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54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54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54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54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54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54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54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54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54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54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54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54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54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54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54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54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54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54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54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54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54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54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54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54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54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54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54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54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54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54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54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54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54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54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54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54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54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54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54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54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54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54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54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54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54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54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54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54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54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54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54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54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54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54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54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54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54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54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54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54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54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54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54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54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54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54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54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54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54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54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54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54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54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54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54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54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54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54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54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54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54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54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54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54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54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54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54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54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54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54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54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54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54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54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54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54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54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54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54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54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54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54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54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54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54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54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54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54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54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54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54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54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54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54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54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54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54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54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54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54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54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54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54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54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54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54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54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54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54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54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54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54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54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54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54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54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54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54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54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54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54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54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54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54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54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54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54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54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54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54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54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54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54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54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54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54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54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54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54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54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54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54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54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54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54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54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54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54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54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54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54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54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54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54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54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54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54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54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54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54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54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54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54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54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54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54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54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54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54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54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54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54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54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54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54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54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54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54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54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54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54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54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54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54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54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54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54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54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54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54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54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54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54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54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54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54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54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54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54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54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54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54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54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54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54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54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54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54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54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54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54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54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54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54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54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54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54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54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54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54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54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54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54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54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54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54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54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54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54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54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54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54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54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54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54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54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54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54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54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54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54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54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54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54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54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54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54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54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54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54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54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54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54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54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54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54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54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54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54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54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54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54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54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54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54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54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54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54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54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54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54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54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54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54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54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54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54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54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54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54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54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54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54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54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54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54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54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54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54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54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54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54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54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54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54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54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54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54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54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54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54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54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54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54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54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54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54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54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54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54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54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54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54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54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54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54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54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54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54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54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54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54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54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54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54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54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54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54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54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54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54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54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54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54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54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54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54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54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54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54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54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54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54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54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54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54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54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54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54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54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54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54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54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54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54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54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54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54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54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54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54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54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54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54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54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54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54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54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54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54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54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54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54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54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54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54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54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54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54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54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54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54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54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54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54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54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54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54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54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54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54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54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54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54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54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54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54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54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54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54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54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54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54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54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54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54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54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54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54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54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54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54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54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54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54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54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54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54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54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54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54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54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54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54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54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54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54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54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54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54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54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54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54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54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54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54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54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54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54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54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54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54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54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54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54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54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54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54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54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54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54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54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54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54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54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54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54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54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54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54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54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54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54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54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54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54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54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54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54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54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54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54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54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54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54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54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54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54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54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54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54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54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54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54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54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54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54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54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54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54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54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54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54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54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54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54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54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54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54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54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54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54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54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54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54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54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54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54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54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54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54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54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54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54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54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54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54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54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54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54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54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54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54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54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54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54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54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54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54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54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54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54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54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54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54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54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54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54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54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54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54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54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54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54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54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54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54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54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54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54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54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54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54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54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54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54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54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54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54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54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54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54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54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54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54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54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54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54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54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54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54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54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54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54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54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54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54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54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54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54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54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54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54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54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54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54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54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54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54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54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54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54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54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54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54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54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54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54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54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54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54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54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54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54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54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54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54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54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54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54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54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54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54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54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54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54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54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54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54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54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54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54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54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54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54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54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54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54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54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54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54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54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54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54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54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54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54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54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54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54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54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54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54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54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54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54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54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54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54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54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54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54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54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54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54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54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54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54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54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54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54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54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54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54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54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54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54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54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54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54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54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54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54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54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54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54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54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54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54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54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54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</sheetData>
  <mergeCells count="16">
    <mergeCell ref="B2:C2"/>
    <mergeCell ref="B4:B6"/>
    <mergeCell ref="C4:C6"/>
    <mergeCell ref="F4:F6"/>
    <mergeCell ref="I4:I6"/>
    <mergeCell ref="J4:J6"/>
    <mergeCell ref="K4:K6"/>
    <mergeCell ref="K8:K13"/>
    <mergeCell ref="K15:K25"/>
    <mergeCell ref="B8:B13"/>
    <mergeCell ref="C8:C13"/>
    <mergeCell ref="F8:F13"/>
    <mergeCell ref="I8:I13"/>
    <mergeCell ref="J8:J13"/>
    <mergeCell ref="B15:B25"/>
    <mergeCell ref="C15:C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16.13"/>
    <col customWidth="1" min="4" max="4" width="14.25"/>
    <col customWidth="1" min="5" max="5" width="34.63"/>
    <col customWidth="1" min="8" max="8" width="17.88"/>
    <col customWidth="1" min="12" max="12" width="19.75"/>
    <col customWidth="1" min="13" max="13" width="23.25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6"/>
      <c r="B2" s="37" t="s">
        <v>508</v>
      </c>
      <c r="D2" s="16"/>
      <c r="E2" s="68" t="s">
        <v>509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6"/>
      <c r="B3" s="99" t="s">
        <v>391</v>
      </c>
      <c r="C3" s="99" t="s">
        <v>392</v>
      </c>
      <c r="D3" s="134" t="s">
        <v>510</v>
      </c>
      <c r="E3" s="99" t="s">
        <v>327</v>
      </c>
      <c r="F3" s="99" t="s">
        <v>103</v>
      </c>
      <c r="G3" s="135" t="s">
        <v>104</v>
      </c>
      <c r="H3" s="99" t="s">
        <v>105</v>
      </c>
      <c r="I3" s="99" t="s">
        <v>106</v>
      </c>
      <c r="J3" s="99" t="s">
        <v>107</v>
      </c>
      <c r="K3" s="99" t="s">
        <v>393</v>
      </c>
      <c r="L3" s="99" t="s">
        <v>394</v>
      </c>
      <c r="M3" s="99" t="s">
        <v>395</v>
      </c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16"/>
      <c r="B4" s="85" t="s">
        <v>75</v>
      </c>
      <c r="C4" s="40" t="s">
        <v>140</v>
      </c>
      <c r="D4" s="88" t="s">
        <v>511</v>
      </c>
      <c r="E4" s="88" t="s">
        <v>512</v>
      </c>
      <c r="F4" s="136"/>
      <c r="G4" s="137" t="s">
        <v>513</v>
      </c>
      <c r="H4" s="137">
        <f>5*7</f>
        <v>35</v>
      </c>
      <c r="I4" s="32"/>
      <c r="J4" s="138"/>
      <c r="K4" s="138"/>
      <c r="L4" s="138"/>
      <c r="M4" s="139" t="s">
        <v>514</v>
      </c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16"/>
    </row>
    <row r="5">
      <c r="A5" s="16"/>
      <c r="B5" s="140" t="s">
        <v>82</v>
      </c>
      <c r="C5" s="40" t="s">
        <v>140</v>
      </c>
      <c r="D5" s="88" t="s">
        <v>511</v>
      </c>
      <c r="E5" s="88" t="s">
        <v>515</v>
      </c>
      <c r="F5" s="136"/>
      <c r="G5" s="137" t="s">
        <v>513</v>
      </c>
      <c r="H5" s="137">
        <f>10*7</f>
        <v>70</v>
      </c>
      <c r="I5" s="32"/>
      <c r="J5" s="138"/>
      <c r="K5" s="138"/>
      <c r="L5" s="138"/>
      <c r="M5" s="141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16"/>
    </row>
    <row r="6">
      <c r="A6" s="16"/>
      <c r="B6" s="142"/>
      <c r="C6" s="142"/>
      <c r="D6" s="143"/>
      <c r="E6" s="136"/>
      <c r="F6" s="136"/>
      <c r="G6" s="136"/>
      <c r="H6" s="136"/>
      <c r="I6" s="32"/>
      <c r="J6" s="138"/>
      <c r="K6" s="138"/>
      <c r="L6" s="138"/>
      <c r="M6" s="138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16"/>
    </row>
    <row r="7">
      <c r="A7" s="16"/>
      <c r="B7" s="144"/>
      <c r="C7" s="144"/>
      <c r="D7" s="144"/>
      <c r="E7" s="144"/>
      <c r="F7" s="144"/>
      <c r="G7" s="144"/>
      <c r="H7" s="145">
        <f>SUM(H4:H6)</f>
        <v>105</v>
      </c>
      <c r="I7" s="146"/>
      <c r="J7" s="146"/>
      <c r="K7" s="146"/>
      <c r="L7" s="146"/>
      <c r="M7" s="146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16"/>
    </row>
    <row r="8">
      <c r="A8" s="16"/>
      <c r="B8" s="84"/>
      <c r="C8" s="84"/>
      <c r="D8" s="147" t="s">
        <v>516</v>
      </c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16"/>
    </row>
    <row r="9">
      <c r="A9" s="16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16"/>
    </row>
    <row r="10">
      <c r="A10" s="16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16"/>
    </row>
    <row r="11">
      <c r="A11" s="16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16"/>
    </row>
    <row r="12">
      <c r="A12" s="16"/>
      <c r="B12" s="148"/>
      <c r="C12" s="148"/>
      <c r="D12" s="148"/>
      <c r="E12" s="148"/>
      <c r="F12" s="148"/>
      <c r="G12" s="148"/>
      <c r="H12" s="148"/>
      <c r="I12" s="148"/>
      <c r="J12" s="18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16"/>
    </row>
    <row r="13">
      <c r="A13" s="16"/>
      <c r="B13" s="148"/>
      <c r="C13" s="148"/>
      <c r="D13" s="148"/>
      <c r="E13" s="148"/>
      <c r="F13" s="148"/>
      <c r="G13" s="148"/>
      <c r="H13" s="148"/>
      <c r="I13" s="148"/>
      <c r="J13" s="18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16"/>
    </row>
    <row r="14">
      <c r="A14" s="16"/>
      <c r="B14" s="148"/>
      <c r="C14" s="148"/>
      <c r="D14" s="148"/>
      <c r="E14" s="148"/>
      <c r="F14" s="148"/>
      <c r="G14" s="148"/>
      <c r="H14" s="148"/>
      <c r="I14" s="148"/>
      <c r="J14" s="149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16"/>
    </row>
    <row r="15">
      <c r="A15" s="16"/>
      <c r="B15" s="148"/>
      <c r="C15" s="148"/>
      <c r="D15" s="148"/>
      <c r="E15" s="148"/>
      <c r="F15" s="148"/>
      <c r="G15" s="148"/>
      <c r="H15" s="148"/>
      <c r="I15" s="148"/>
      <c r="J15" s="18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16"/>
    </row>
    <row r="16">
      <c r="A16" s="16"/>
      <c r="B16" s="148"/>
      <c r="C16" s="148"/>
      <c r="D16" s="148"/>
      <c r="E16" s="148"/>
      <c r="F16" s="148"/>
      <c r="G16" s="148"/>
      <c r="H16" s="148"/>
      <c r="I16" s="148"/>
      <c r="J16" s="18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16"/>
    </row>
    <row r="17">
      <c r="A17" s="16"/>
      <c r="B17" s="148"/>
      <c r="C17" s="148"/>
      <c r="D17" s="148"/>
      <c r="E17" s="148"/>
      <c r="F17" s="148"/>
      <c r="G17" s="148"/>
      <c r="H17" s="148"/>
      <c r="I17" s="148"/>
      <c r="J17" s="18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16"/>
    </row>
    <row r="18">
      <c r="A18" s="16"/>
      <c r="B18" s="148"/>
      <c r="C18" s="148"/>
      <c r="D18" s="148"/>
      <c r="E18" s="148"/>
      <c r="F18" s="148"/>
      <c r="G18" s="148"/>
      <c r="H18" s="148"/>
      <c r="I18" s="148"/>
      <c r="J18" s="18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16"/>
    </row>
    <row r="19">
      <c r="A19" s="16"/>
      <c r="B19" s="148"/>
      <c r="C19" s="148"/>
      <c r="D19" s="148"/>
      <c r="E19" s="148"/>
      <c r="F19" s="148"/>
      <c r="G19" s="148"/>
      <c r="H19" s="148"/>
      <c r="I19" s="148"/>
      <c r="J19" s="18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16"/>
    </row>
    <row r="20">
      <c r="A20" s="16"/>
      <c r="B20" s="148"/>
      <c r="C20" s="148"/>
      <c r="D20" s="148"/>
      <c r="E20" s="148"/>
      <c r="F20" s="148"/>
      <c r="G20" s="148"/>
      <c r="H20" s="148"/>
      <c r="I20" s="148"/>
      <c r="J20" s="18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16"/>
    </row>
    <row r="21">
      <c r="A21" s="16"/>
      <c r="B21" s="148"/>
      <c r="C21" s="148"/>
      <c r="D21" s="148"/>
      <c r="E21" s="148"/>
      <c r="F21" s="148"/>
      <c r="G21" s="148"/>
      <c r="H21" s="148"/>
      <c r="I21" s="148"/>
      <c r="J21" s="18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16"/>
    </row>
    <row r="22">
      <c r="A22" s="16"/>
      <c r="B22" s="148"/>
      <c r="C22" s="148"/>
      <c r="D22" s="148"/>
      <c r="E22" s="148"/>
      <c r="F22" s="148"/>
      <c r="G22" s="148"/>
      <c r="H22" s="148"/>
      <c r="I22" s="148"/>
      <c r="J22" s="18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16"/>
    </row>
    <row r="23">
      <c r="A23" s="16"/>
      <c r="B23" s="148"/>
      <c r="C23" s="148"/>
      <c r="D23" s="148"/>
      <c r="E23" s="148"/>
      <c r="F23" s="148"/>
      <c r="G23" s="148"/>
      <c r="H23" s="148"/>
      <c r="I23" s="148"/>
      <c r="J23" s="18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16"/>
    </row>
    <row r="24">
      <c r="A24" s="16"/>
      <c r="B24" s="148"/>
      <c r="C24" s="148"/>
      <c r="D24" s="148"/>
      <c r="E24" s="148"/>
      <c r="F24" s="148"/>
      <c r="G24" s="148"/>
      <c r="H24" s="148"/>
      <c r="I24" s="148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16"/>
    </row>
    <row r="25">
      <c r="A25" s="16"/>
      <c r="B25" s="148"/>
      <c r="C25" s="148"/>
      <c r="D25" s="148"/>
      <c r="E25" s="148"/>
      <c r="F25" s="148"/>
      <c r="G25" s="148"/>
      <c r="H25" s="148"/>
      <c r="I25" s="148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16"/>
    </row>
    <row r="26">
      <c r="A26" s="16"/>
      <c r="B26" s="148"/>
      <c r="C26" s="148"/>
      <c r="D26" s="148"/>
      <c r="E26" s="148"/>
      <c r="F26" s="148"/>
      <c r="G26" s="148"/>
      <c r="H26" s="148"/>
      <c r="I26" s="148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16"/>
    </row>
    <row r="27">
      <c r="A27" s="16"/>
      <c r="B27" s="148"/>
      <c r="C27" s="148"/>
      <c r="D27" s="148"/>
      <c r="E27" s="148"/>
      <c r="F27" s="148"/>
      <c r="G27" s="148"/>
      <c r="H27" s="148"/>
      <c r="I27" s="148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16"/>
    </row>
    <row r="28">
      <c r="A28" s="16"/>
      <c r="B28" s="148"/>
      <c r="C28" s="148"/>
      <c r="D28" s="148"/>
      <c r="E28" s="148"/>
      <c r="F28" s="148"/>
      <c r="G28" s="148"/>
      <c r="H28" s="148"/>
      <c r="I28" s="148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16"/>
    </row>
    <row r="29">
      <c r="A29" s="16"/>
      <c r="B29" s="148"/>
      <c r="C29" s="148"/>
      <c r="D29" s="148"/>
      <c r="E29" s="148"/>
      <c r="F29" s="148"/>
      <c r="G29" s="148"/>
      <c r="H29" s="148"/>
      <c r="I29" s="148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16"/>
    </row>
    <row r="30">
      <c r="A30" s="16"/>
      <c r="B30" s="148"/>
      <c r="C30" s="148"/>
      <c r="D30" s="148"/>
      <c r="E30" s="148"/>
      <c r="F30" s="148"/>
      <c r="G30" s="148"/>
      <c r="H30" s="148"/>
      <c r="I30" s="148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16"/>
    </row>
    <row r="31">
      <c r="A31" s="16"/>
      <c r="B31" s="148"/>
      <c r="C31" s="148"/>
      <c r="D31" s="148"/>
      <c r="E31" s="148"/>
      <c r="F31" s="148"/>
      <c r="G31" s="148"/>
      <c r="H31" s="148"/>
      <c r="I31" s="148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6"/>
    </row>
    <row r="32">
      <c r="A32" s="16"/>
      <c r="B32" s="148"/>
      <c r="C32" s="148"/>
      <c r="D32" s="148"/>
      <c r="E32" s="148"/>
      <c r="F32" s="148"/>
      <c r="G32" s="148"/>
      <c r="H32" s="148"/>
      <c r="I32" s="148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6"/>
    </row>
    <row r="33">
      <c r="A33" s="16"/>
      <c r="B33" s="148"/>
      <c r="C33" s="148"/>
      <c r="D33" s="148"/>
      <c r="E33" s="148"/>
      <c r="F33" s="148"/>
      <c r="G33" s="148"/>
      <c r="H33" s="148"/>
      <c r="I33" s="148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6"/>
    </row>
    <row r="34">
      <c r="A34" s="16"/>
      <c r="B34" s="148"/>
      <c r="C34" s="148"/>
      <c r="D34" s="148"/>
      <c r="E34" s="148"/>
      <c r="F34" s="148"/>
      <c r="G34" s="148"/>
      <c r="H34" s="148"/>
      <c r="I34" s="148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  <c r="AA34" s="16"/>
    </row>
    <row r="35">
      <c r="A35" s="16"/>
      <c r="B35" s="148"/>
      <c r="C35" s="148"/>
      <c r="D35" s="148"/>
      <c r="E35" s="148"/>
      <c r="F35" s="148"/>
      <c r="G35" s="148"/>
      <c r="H35" s="148"/>
      <c r="I35" s="148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6"/>
    </row>
    <row r="36">
      <c r="A36" s="16"/>
      <c r="B36" s="148"/>
      <c r="C36" s="148"/>
      <c r="D36" s="148"/>
      <c r="E36" s="148"/>
      <c r="F36" s="148"/>
      <c r="G36" s="148"/>
      <c r="H36" s="148"/>
      <c r="I36" s="148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6"/>
    </row>
    <row r="37">
      <c r="A37" s="16"/>
      <c r="B37" s="148"/>
      <c r="C37" s="148"/>
      <c r="D37" s="148"/>
      <c r="E37" s="148"/>
      <c r="F37" s="148"/>
      <c r="G37" s="148"/>
      <c r="H37" s="148"/>
      <c r="I37" s="148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  <c r="AA37" s="16"/>
    </row>
    <row r="38">
      <c r="A38" s="16"/>
      <c r="B38" s="148"/>
      <c r="C38" s="148"/>
      <c r="D38" s="148"/>
      <c r="E38" s="148"/>
      <c r="F38" s="148"/>
      <c r="G38" s="148"/>
      <c r="H38" s="148"/>
      <c r="I38" s="148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6"/>
    </row>
    <row r="39">
      <c r="A39" s="16"/>
      <c r="B39" s="148"/>
      <c r="C39" s="148"/>
      <c r="D39" s="148"/>
      <c r="E39" s="148"/>
      <c r="F39" s="148"/>
      <c r="G39" s="148"/>
      <c r="H39" s="148"/>
      <c r="I39" s="148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  <c r="AA39" s="16"/>
    </row>
    <row r="40">
      <c r="A40" s="16"/>
      <c r="B40" s="148"/>
      <c r="C40" s="148"/>
      <c r="D40" s="148"/>
      <c r="E40" s="148"/>
      <c r="F40" s="148"/>
      <c r="G40" s="148"/>
      <c r="H40" s="148"/>
      <c r="I40" s="148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  <c r="AA40" s="16"/>
    </row>
    <row r="41">
      <c r="A41" s="16"/>
      <c r="B41" s="148"/>
      <c r="C41" s="148"/>
      <c r="D41" s="148"/>
      <c r="E41" s="148"/>
      <c r="F41" s="148"/>
      <c r="G41" s="148"/>
      <c r="H41" s="148"/>
      <c r="I41" s="148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6"/>
    </row>
    <row r="42">
      <c r="A42" s="16"/>
      <c r="B42" s="148"/>
      <c r="C42" s="148"/>
      <c r="D42" s="148"/>
      <c r="E42" s="148"/>
      <c r="F42" s="148"/>
      <c r="G42" s="148"/>
      <c r="H42" s="148"/>
      <c r="I42" s="148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  <c r="AA42" s="16"/>
    </row>
    <row r="43">
      <c r="A43" s="16"/>
      <c r="B43" s="148"/>
      <c r="C43" s="148"/>
      <c r="D43" s="148"/>
      <c r="E43" s="148"/>
      <c r="F43" s="148"/>
      <c r="G43" s="148"/>
      <c r="H43" s="148"/>
      <c r="I43" s="148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6"/>
    </row>
    <row r="44">
      <c r="A44" s="16"/>
      <c r="B44" s="148"/>
      <c r="C44" s="148"/>
      <c r="D44" s="148"/>
      <c r="E44" s="148"/>
      <c r="F44" s="148"/>
      <c r="G44" s="148"/>
      <c r="H44" s="148"/>
      <c r="I44" s="148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6"/>
    </row>
    <row r="45">
      <c r="A45" s="16"/>
      <c r="B45" s="148"/>
      <c r="C45" s="148"/>
      <c r="D45" s="148"/>
      <c r="E45" s="148"/>
      <c r="F45" s="148"/>
      <c r="G45" s="148"/>
      <c r="H45" s="148"/>
      <c r="I45" s="148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6"/>
    </row>
    <row r="46">
      <c r="A46" s="16"/>
      <c r="B46" s="148"/>
      <c r="C46" s="148"/>
      <c r="D46" s="148"/>
      <c r="E46" s="148"/>
      <c r="F46" s="148"/>
      <c r="G46" s="148"/>
      <c r="H46" s="148"/>
      <c r="I46" s="148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6"/>
    </row>
    <row r="47">
      <c r="A47" s="16"/>
      <c r="B47" s="148"/>
      <c r="C47" s="148"/>
      <c r="D47" s="148"/>
      <c r="E47" s="148"/>
      <c r="F47" s="148"/>
      <c r="G47" s="148"/>
      <c r="H47" s="148"/>
      <c r="I47" s="148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6"/>
    </row>
    <row r="48">
      <c r="A48" s="16"/>
      <c r="B48" s="148"/>
      <c r="C48" s="148"/>
      <c r="D48" s="148"/>
      <c r="E48" s="148"/>
      <c r="F48" s="148"/>
      <c r="G48" s="148"/>
      <c r="H48" s="148"/>
      <c r="I48" s="148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6"/>
    </row>
    <row r="49">
      <c r="A49" s="16"/>
      <c r="B49" s="148"/>
      <c r="C49" s="148"/>
      <c r="D49" s="148"/>
      <c r="E49" s="148"/>
      <c r="F49" s="148"/>
      <c r="G49" s="148"/>
      <c r="H49" s="148"/>
      <c r="I49" s="148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6"/>
    </row>
    <row r="50">
      <c r="A50" s="16"/>
      <c r="B50" s="148"/>
      <c r="C50" s="148"/>
      <c r="D50" s="148"/>
      <c r="E50" s="148"/>
      <c r="F50" s="148"/>
      <c r="G50" s="148"/>
      <c r="H50" s="148"/>
      <c r="I50" s="148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6"/>
    </row>
    <row r="51">
      <c r="A51" s="16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6"/>
    </row>
    <row r="52">
      <c r="A52" s="16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6"/>
    </row>
    <row r="53">
      <c r="A53" s="16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6"/>
    </row>
    <row r="54">
      <c r="A54" s="16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6"/>
    </row>
    <row r="55">
      <c r="A55" s="16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6"/>
    </row>
    <row r="56">
      <c r="A56" s="16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  <c r="AA56" s="16"/>
    </row>
    <row r="57">
      <c r="A57" s="16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6"/>
    </row>
    <row r="58">
      <c r="A58" s="16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6"/>
    </row>
    <row r="59">
      <c r="A59" s="16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6"/>
    </row>
    <row r="60">
      <c r="A60" s="16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6"/>
    </row>
    <row r="61">
      <c r="A61" s="16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6"/>
    </row>
    <row r="62">
      <c r="A62" s="16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6"/>
    </row>
    <row r="63">
      <c r="A63" s="16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  <c r="AA63" s="16"/>
    </row>
    <row r="64">
      <c r="A64" s="16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  <c r="AA64" s="16"/>
    </row>
    <row r="65">
      <c r="A65" s="16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6"/>
    </row>
    <row r="66">
      <c r="A66" s="16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  <c r="AA66" s="16"/>
    </row>
    <row r="67">
      <c r="A67" s="16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6"/>
    </row>
    <row r="68">
      <c r="A68" s="16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  <c r="AA68" s="16"/>
    </row>
    <row r="69">
      <c r="A69" s="16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  <c r="AA69" s="16"/>
    </row>
    <row r="70">
      <c r="A70" s="16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  <c r="AA70" s="16"/>
    </row>
    <row r="71">
      <c r="A71" s="16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  <c r="AA71" s="16"/>
    </row>
    <row r="72">
      <c r="A72" s="16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  <c r="AA72" s="16"/>
    </row>
    <row r="73">
      <c r="A73" s="16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  <c r="AA73" s="16"/>
    </row>
    <row r="74">
      <c r="A74" s="16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  <c r="AA74" s="16"/>
    </row>
    <row r="75">
      <c r="A75" s="16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  <c r="AA75" s="16"/>
    </row>
    <row r="76">
      <c r="A76" s="16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6"/>
    </row>
    <row r="77">
      <c r="A77" s="16"/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6"/>
    </row>
    <row r="78">
      <c r="A78" s="16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6"/>
    </row>
    <row r="79">
      <c r="A79" s="16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6"/>
    </row>
    <row r="80">
      <c r="A80" s="16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6"/>
    </row>
    <row r="81">
      <c r="A81" s="16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6"/>
    </row>
    <row r="82">
      <c r="A82" s="16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  <c r="AA82" s="16"/>
    </row>
    <row r="83">
      <c r="A83" s="16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  <c r="AA83" s="16"/>
    </row>
    <row r="84">
      <c r="A84" s="16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  <c r="AA84" s="16"/>
    </row>
    <row r="85">
      <c r="A85" s="16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  <c r="AA85" s="16"/>
    </row>
    <row r="86">
      <c r="A86" s="16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  <c r="AA86" s="16"/>
    </row>
    <row r="87">
      <c r="A87" s="16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  <c r="AA87" s="16"/>
    </row>
    <row r="88">
      <c r="A88" s="16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  <c r="AA88" s="16"/>
    </row>
    <row r="89">
      <c r="A89" s="16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6"/>
    </row>
    <row r="90">
      <c r="A90" s="16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  <c r="AA90" s="16"/>
    </row>
    <row r="91">
      <c r="A91" s="16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6"/>
    </row>
    <row r="92">
      <c r="A92" s="16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  <c r="AA92" s="16"/>
    </row>
    <row r="93">
      <c r="A93" s="16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  <c r="AA93" s="16"/>
    </row>
    <row r="94">
      <c r="A94" s="16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6"/>
    </row>
    <row r="95">
      <c r="A95" s="16"/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6"/>
    </row>
    <row r="96">
      <c r="A96" s="16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  <c r="AA96" s="16"/>
    </row>
    <row r="97">
      <c r="A97" s="16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6"/>
    </row>
    <row r="98">
      <c r="A98" s="16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  <c r="AA98" s="16"/>
    </row>
    <row r="99">
      <c r="A99" s="16"/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6"/>
    </row>
    <row r="100">
      <c r="A100" s="16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  <c r="AA100" s="16"/>
    </row>
    <row r="101">
      <c r="A101" s="16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  <c r="AA101" s="16"/>
    </row>
    <row r="102">
      <c r="A102" s="16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  <c r="AA102" s="16"/>
    </row>
    <row r="103">
      <c r="A103" s="16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6"/>
    </row>
    <row r="104">
      <c r="A104" s="16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6"/>
    </row>
    <row r="105">
      <c r="A105" s="16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  <c r="AA105" s="16"/>
    </row>
    <row r="106">
      <c r="A106" s="16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  <c r="AA106" s="16"/>
    </row>
    <row r="107">
      <c r="A107" s="16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  <c r="AA107" s="16"/>
    </row>
    <row r="108">
      <c r="A108" s="16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  <c r="AA108" s="16"/>
    </row>
    <row r="109">
      <c r="A109" s="16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  <c r="AA109" s="16"/>
    </row>
    <row r="110">
      <c r="A110" s="16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  <c r="AA110" s="16"/>
    </row>
    <row r="111">
      <c r="A111" s="16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  <c r="AA111" s="16"/>
    </row>
    <row r="112">
      <c r="A112" s="16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  <c r="AA112" s="16"/>
    </row>
    <row r="113">
      <c r="A113" s="16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6"/>
    </row>
    <row r="114">
      <c r="A114" s="16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6"/>
    </row>
    <row r="115">
      <c r="A115" s="16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  <c r="AA115" s="16"/>
    </row>
    <row r="116">
      <c r="A116" s="16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  <c r="AA116" s="16"/>
    </row>
    <row r="117">
      <c r="A117" s="16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  <c r="AA117" s="16"/>
    </row>
    <row r="118">
      <c r="A118" s="16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  <c r="AA118" s="16"/>
    </row>
    <row r="119">
      <c r="A119" s="16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  <c r="AA119" s="16"/>
    </row>
    <row r="120">
      <c r="A120" s="16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  <c r="AA120" s="16"/>
    </row>
    <row r="121">
      <c r="A121" s="16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  <c r="AA121" s="16"/>
    </row>
    <row r="122">
      <c r="A122" s="16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  <c r="AA122" s="16"/>
    </row>
    <row r="123">
      <c r="A123" s="16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  <c r="AA123" s="16"/>
    </row>
    <row r="124">
      <c r="A124" s="16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6"/>
    </row>
    <row r="125">
      <c r="A125" s="16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6"/>
    </row>
    <row r="126">
      <c r="A126" s="16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  <c r="AA126" s="16"/>
    </row>
    <row r="127">
      <c r="A127" s="16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  <c r="AA127" s="16"/>
    </row>
    <row r="128">
      <c r="A128" s="16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  <c r="AA128" s="16"/>
    </row>
    <row r="129">
      <c r="A129" s="16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  <c r="AA129" s="16"/>
    </row>
    <row r="130">
      <c r="A130" s="16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  <c r="AA130" s="16"/>
    </row>
    <row r="131">
      <c r="A131" s="16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  <c r="AA131" s="16"/>
    </row>
    <row r="132">
      <c r="A132" s="16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  <c r="AA132" s="16"/>
    </row>
    <row r="133">
      <c r="A133" s="16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  <c r="AA133" s="16"/>
    </row>
    <row r="134">
      <c r="A134" s="16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  <c r="AA134" s="16"/>
    </row>
    <row r="135">
      <c r="A135" s="16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  <c r="AA135" s="16"/>
    </row>
    <row r="136">
      <c r="A136" s="16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  <c r="AA136" s="16"/>
    </row>
    <row r="137">
      <c r="A137" s="16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  <c r="AA137" s="16"/>
    </row>
    <row r="138">
      <c r="A138" s="16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  <c r="AA138" s="16"/>
    </row>
    <row r="139">
      <c r="A139" s="16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  <c r="AA139" s="16"/>
    </row>
    <row r="140">
      <c r="A140" s="16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  <c r="AA140" s="16"/>
    </row>
    <row r="141">
      <c r="A141" s="16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  <c r="AA141" s="16"/>
    </row>
    <row r="142">
      <c r="A142" s="16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  <c r="AA142" s="16"/>
    </row>
    <row r="143">
      <c r="A143" s="16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  <c r="AA143" s="16"/>
    </row>
    <row r="144">
      <c r="A144" s="16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  <c r="AA144" s="16"/>
    </row>
    <row r="145">
      <c r="A145" s="16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6"/>
    </row>
    <row r="146">
      <c r="A146" s="16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6"/>
    </row>
    <row r="147">
      <c r="A147" s="16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  <c r="AA147" s="16"/>
    </row>
    <row r="148">
      <c r="A148" s="16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  <c r="AA148" s="16"/>
    </row>
    <row r="149">
      <c r="A149" s="16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  <c r="AA149" s="16"/>
    </row>
    <row r="150">
      <c r="A150" s="16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  <c r="AA150" s="16"/>
    </row>
    <row r="151">
      <c r="A151" s="16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  <c r="AA151" s="16"/>
    </row>
    <row r="152">
      <c r="A152" s="16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  <c r="AA152" s="16"/>
    </row>
    <row r="153">
      <c r="A153" s="16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  <c r="AA153" s="16"/>
    </row>
    <row r="154">
      <c r="A154" s="16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  <c r="AA154" s="16"/>
    </row>
    <row r="155">
      <c r="A155" s="16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  <c r="AA155" s="16"/>
    </row>
    <row r="156">
      <c r="A156" s="16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  <c r="AA156" s="16"/>
    </row>
    <row r="157">
      <c r="A157" s="16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  <c r="AA157" s="16"/>
    </row>
    <row r="158">
      <c r="A158" s="16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  <c r="AA158" s="16"/>
    </row>
    <row r="159">
      <c r="A159" s="16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  <c r="AA159" s="16"/>
    </row>
    <row r="160">
      <c r="A160" s="16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6"/>
    </row>
    <row r="161">
      <c r="A161" s="16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  <c r="AA161" s="16"/>
    </row>
    <row r="162">
      <c r="A162" s="16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  <c r="AA162" s="16"/>
    </row>
    <row r="163">
      <c r="A163" s="16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  <c r="AA163" s="16"/>
    </row>
    <row r="164">
      <c r="A164" s="16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  <c r="AA164" s="16"/>
    </row>
    <row r="165">
      <c r="A165" s="16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6"/>
    </row>
    <row r="166">
      <c r="A166" s="16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6"/>
    </row>
    <row r="167">
      <c r="A167" s="16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6"/>
    </row>
    <row r="168">
      <c r="A168" s="16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6"/>
    </row>
    <row r="169">
      <c r="A169" s="16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6"/>
    </row>
    <row r="170">
      <c r="A170" s="16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6"/>
    </row>
    <row r="171">
      <c r="A171" s="16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6"/>
    </row>
    <row r="172">
      <c r="A172" s="16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  <c r="AA172" s="16"/>
    </row>
    <row r="173">
      <c r="A173" s="16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  <c r="AA173" s="16"/>
    </row>
    <row r="174">
      <c r="A174" s="16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  <c r="AA174" s="16"/>
    </row>
    <row r="175">
      <c r="A175" s="16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  <c r="AA175" s="16"/>
    </row>
    <row r="176">
      <c r="A176" s="16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  <c r="AA176" s="16"/>
    </row>
    <row r="177">
      <c r="A177" s="16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  <c r="AA177" s="16"/>
    </row>
    <row r="178">
      <c r="A178" s="16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  <c r="AA178" s="16"/>
    </row>
    <row r="179">
      <c r="A179" s="16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  <c r="AA179" s="16"/>
    </row>
    <row r="180">
      <c r="A180" s="16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  <c r="AA180" s="16"/>
    </row>
    <row r="181">
      <c r="A181" s="16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  <c r="AA181" s="16"/>
    </row>
    <row r="182">
      <c r="A182" s="16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  <c r="AA182" s="16"/>
    </row>
    <row r="183">
      <c r="A183" s="16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6"/>
    </row>
    <row r="184">
      <c r="A184" s="16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  <c r="AA184" s="16"/>
    </row>
    <row r="185">
      <c r="A185" s="16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6"/>
    </row>
    <row r="186">
      <c r="A186" s="16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  <c r="AA186" s="16"/>
    </row>
    <row r="187">
      <c r="A187" s="16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6"/>
    </row>
    <row r="188">
      <c r="A188" s="16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6"/>
    </row>
    <row r="189">
      <c r="A189" s="16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6"/>
    </row>
    <row r="190">
      <c r="A190" s="16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6"/>
    </row>
    <row r="191">
      <c r="A191" s="16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6"/>
    </row>
    <row r="192">
      <c r="A192" s="16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6"/>
    </row>
    <row r="193">
      <c r="A193" s="16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6"/>
    </row>
    <row r="194">
      <c r="A194" s="16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6"/>
    </row>
    <row r="195">
      <c r="A195" s="16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6"/>
    </row>
    <row r="196">
      <c r="A196" s="16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6"/>
    </row>
    <row r="197">
      <c r="A197" s="16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6"/>
    </row>
    <row r="198">
      <c r="A198" s="16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6"/>
    </row>
    <row r="199">
      <c r="A199" s="16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6"/>
    </row>
    <row r="200">
      <c r="A200" s="16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6"/>
    </row>
    <row r="201">
      <c r="A201" s="16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6"/>
    </row>
    <row r="202">
      <c r="A202" s="16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6"/>
    </row>
    <row r="203">
      <c r="A203" s="16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6"/>
    </row>
    <row r="204">
      <c r="A204" s="16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6"/>
    </row>
    <row r="205">
      <c r="A205" s="16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6"/>
    </row>
    <row r="206">
      <c r="A206" s="16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6"/>
    </row>
    <row r="207">
      <c r="A207" s="16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6"/>
    </row>
    <row r="208">
      <c r="A208" s="16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6"/>
    </row>
    <row r="209">
      <c r="A209" s="16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6"/>
    </row>
    <row r="210">
      <c r="A210" s="16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6"/>
    </row>
    <row r="211">
      <c r="A211" s="16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6"/>
    </row>
    <row r="212">
      <c r="A212" s="16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6"/>
    </row>
    <row r="213">
      <c r="A213" s="16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6"/>
    </row>
    <row r="214">
      <c r="A214" s="16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6"/>
    </row>
    <row r="215">
      <c r="A215" s="16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6"/>
    </row>
    <row r="216">
      <c r="A216" s="16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6"/>
    </row>
    <row r="217">
      <c r="A217" s="16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6"/>
    </row>
    <row r="218">
      <c r="A218" s="16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6"/>
    </row>
    <row r="219">
      <c r="A219" s="16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6"/>
    </row>
    <row r="220">
      <c r="A220" s="16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6"/>
    </row>
    <row r="221">
      <c r="A221" s="16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6"/>
    </row>
    <row r="222">
      <c r="A222" s="16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6"/>
    </row>
    <row r="223">
      <c r="A223" s="16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6"/>
    </row>
    <row r="224">
      <c r="A224" s="16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  <c r="AA224" s="16"/>
    </row>
    <row r="225">
      <c r="A225" s="16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  <c r="AA225" s="16"/>
    </row>
    <row r="226">
      <c r="A226" s="16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  <c r="AA226" s="16"/>
    </row>
    <row r="227">
      <c r="A227" s="16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6"/>
    </row>
    <row r="228">
      <c r="A228" s="16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6"/>
    </row>
    <row r="229">
      <c r="A229" s="16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6"/>
    </row>
    <row r="230">
      <c r="A230" s="16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6"/>
    </row>
    <row r="231">
      <c r="A231" s="16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6"/>
    </row>
    <row r="232">
      <c r="A232" s="16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6"/>
    </row>
    <row r="233">
      <c r="A233" s="16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6"/>
    </row>
    <row r="234">
      <c r="A234" s="16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6"/>
    </row>
    <row r="235">
      <c r="A235" s="16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6"/>
    </row>
    <row r="236">
      <c r="A236" s="16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6"/>
    </row>
    <row r="237">
      <c r="A237" s="16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6"/>
    </row>
    <row r="238">
      <c r="A238" s="16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6"/>
    </row>
    <row r="239">
      <c r="A239" s="16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6"/>
    </row>
    <row r="240">
      <c r="A240" s="16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6"/>
    </row>
    <row r="241">
      <c r="A241" s="16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6"/>
    </row>
    <row r="242">
      <c r="A242" s="16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6"/>
    </row>
    <row r="243">
      <c r="A243" s="16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6"/>
    </row>
    <row r="244">
      <c r="A244" s="16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6"/>
    </row>
    <row r="245">
      <c r="A245" s="16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  <c r="AA245" s="16"/>
    </row>
    <row r="246">
      <c r="A246" s="16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  <c r="AA246" s="16"/>
    </row>
    <row r="247">
      <c r="A247" s="16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  <c r="AA247" s="16"/>
    </row>
    <row r="248">
      <c r="A248" s="16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  <c r="AA248" s="16"/>
    </row>
    <row r="249">
      <c r="A249" s="16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  <c r="AA249" s="16"/>
    </row>
    <row r="250">
      <c r="A250" s="16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  <c r="AA250" s="16"/>
    </row>
    <row r="251">
      <c r="A251" s="16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  <c r="AA251" s="16"/>
    </row>
    <row r="252">
      <c r="A252" s="16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  <c r="AA252" s="16"/>
    </row>
    <row r="253">
      <c r="A253" s="16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  <c r="AA253" s="16"/>
    </row>
    <row r="254">
      <c r="A254" s="16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  <c r="AA254" s="16"/>
    </row>
    <row r="255">
      <c r="A255" s="16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  <c r="AA255" s="16"/>
    </row>
    <row r="256">
      <c r="A256" s="16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  <c r="AA256" s="16"/>
    </row>
    <row r="257">
      <c r="A257" s="16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  <c r="AA257" s="16"/>
    </row>
    <row r="258">
      <c r="A258" s="16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  <c r="AA258" s="16"/>
    </row>
    <row r="259">
      <c r="A259" s="16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  <c r="AA259" s="16"/>
    </row>
    <row r="260">
      <c r="A260" s="16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  <c r="AA260" s="16"/>
    </row>
    <row r="261">
      <c r="A261" s="16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  <c r="AA261" s="16"/>
    </row>
    <row r="262">
      <c r="A262" s="16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  <c r="AA262" s="16"/>
    </row>
    <row r="263">
      <c r="A263" s="16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  <c r="AA263" s="16"/>
    </row>
    <row r="264">
      <c r="A264" s="16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  <c r="AA264" s="16"/>
    </row>
    <row r="265">
      <c r="A265" s="16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  <c r="AA265" s="16"/>
    </row>
    <row r="266">
      <c r="A266" s="16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  <c r="AA266" s="16"/>
    </row>
    <row r="267">
      <c r="A267" s="16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  <c r="AA267" s="16"/>
    </row>
    <row r="268">
      <c r="A268" s="16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  <c r="AA268" s="16"/>
    </row>
    <row r="269">
      <c r="A269" s="16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  <c r="AA269" s="16"/>
    </row>
    <row r="270">
      <c r="A270" s="16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  <c r="AA270" s="16"/>
    </row>
    <row r="271">
      <c r="A271" s="16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  <c r="AA271" s="16"/>
    </row>
    <row r="272">
      <c r="A272" s="16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  <c r="AA272" s="16"/>
    </row>
    <row r="273">
      <c r="A273" s="16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  <c r="AA273" s="16"/>
    </row>
    <row r="274">
      <c r="A274" s="16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  <c r="AA274" s="16"/>
    </row>
    <row r="275">
      <c r="A275" s="16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  <c r="AA275" s="16"/>
    </row>
    <row r="276">
      <c r="A276" s="16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  <c r="AA276" s="16"/>
    </row>
    <row r="277">
      <c r="A277" s="16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  <c r="AA277" s="16"/>
    </row>
    <row r="278">
      <c r="A278" s="16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  <c r="AA278" s="16"/>
    </row>
    <row r="279">
      <c r="A279" s="16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  <c r="AA279" s="16"/>
    </row>
    <row r="280">
      <c r="A280" s="16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  <c r="AA280" s="16"/>
    </row>
    <row r="281">
      <c r="A281" s="16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  <c r="AA281" s="16"/>
    </row>
    <row r="282">
      <c r="A282" s="16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  <c r="AA282" s="16"/>
    </row>
    <row r="283">
      <c r="A283" s="16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  <c r="AA283" s="16"/>
    </row>
    <row r="284">
      <c r="A284" s="16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  <c r="AA284" s="16"/>
    </row>
    <row r="285">
      <c r="A285" s="16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  <c r="AA285" s="16"/>
    </row>
    <row r="286">
      <c r="A286" s="16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  <c r="AA286" s="16"/>
    </row>
    <row r="287">
      <c r="A287" s="16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  <c r="AA287" s="16"/>
    </row>
    <row r="288">
      <c r="A288" s="16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  <c r="AA288" s="16"/>
    </row>
    <row r="289">
      <c r="A289" s="16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  <c r="AA289" s="16"/>
    </row>
    <row r="290">
      <c r="A290" s="16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  <c r="AA290" s="16"/>
    </row>
    <row r="291">
      <c r="A291" s="16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  <c r="AA291" s="16"/>
    </row>
    <row r="292">
      <c r="A292" s="16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  <c r="AA292" s="16"/>
    </row>
    <row r="293">
      <c r="A293" s="16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  <c r="AA293" s="16"/>
    </row>
    <row r="294">
      <c r="A294" s="16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  <c r="AA294" s="16"/>
    </row>
    <row r="295">
      <c r="A295" s="16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  <c r="AA295" s="16"/>
    </row>
    <row r="296">
      <c r="A296" s="16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  <c r="AA296" s="16"/>
    </row>
    <row r="297">
      <c r="A297" s="16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  <c r="AA297" s="16"/>
    </row>
    <row r="298">
      <c r="A298" s="16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  <c r="AA298" s="16"/>
    </row>
    <row r="299">
      <c r="A299" s="16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  <c r="AA299" s="16"/>
    </row>
    <row r="300">
      <c r="A300" s="16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  <c r="AA300" s="16"/>
    </row>
    <row r="301">
      <c r="A301" s="16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  <c r="AA301" s="16"/>
    </row>
    <row r="302">
      <c r="A302" s="16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  <c r="AA302" s="16"/>
    </row>
    <row r="303">
      <c r="A303" s="16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  <c r="AA303" s="16"/>
    </row>
    <row r="304">
      <c r="A304" s="16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  <c r="AA304" s="16"/>
    </row>
    <row r="305">
      <c r="A305" s="16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  <c r="AA305" s="16"/>
    </row>
    <row r="306">
      <c r="A306" s="16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  <c r="AA306" s="16"/>
    </row>
    <row r="307">
      <c r="A307" s="16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  <c r="AA307" s="16"/>
    </row>
    <row r="308">
      <c r="A308" s="16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  <c r="AA308" s="16"/>
    </row>
    <row r="309">
      <c r="A309" s="16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  <c r="AA309" s="16"/>
    </row>
    <row r="310">
      <c r="A310" s="16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  <c r="AA310" s="16"/>
    </row>
    <row r="311">
      <c r="A311" s="16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  <c r="AA311" s="16"/>
    </row>
    <row r="312">
      <c r="A312" s="16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  <c r="AA312" s="16"/>
    </row>
    <row r="313">
      <c r="A313" s="16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  <c r="AA313" s="16"/>
    </row>
    <row r="314">
      <c r="A314" s="16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  <c r="AA314" s="16"/>
    </row>
    <row r="315">
      <c r="A315" s="16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  <c r="AA315" s="16"/>
    </row>
    <row r="316">
      <c r="A316" s="16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  <c r="AA316" s="16"/>
    </row>
    <row r="317">
      <c r="A317" s="16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  <c r="AA317" s="16"/>
    </row>
    <row r="318">
      <c r="A318" s="16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  <c r="AA318" s="16"/>
    </row>
    <row r="319">
      <c r="A319" s="16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  <c r="AA319" s="16"/>
    </row>
    <row r="320">
      <c r="A320" s="16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  <c r="AA320" s="16"/>
    </row>
    <row r="321">
      <c r="A321" s="16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  <c r="AA321" s="16"/>
    </row>
    <row r="322">
      <c r="A322" s="16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  <c r="AA322" s="16"/>
    </row>
    <row r="323">
      <c r="A323" s="16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  <c r="AA323" s="16"/>
    </row>
    <row r="324">
      <c r="A324" s="16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  <c r="AA324" s="16"/>
    </row>
    <row r="325">
      <c r="A325" s="16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  <c r="AA325" s="16"/>
    </row>
    <row r="326">
      <c r="A326" s="16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  <c r="AA326" s="16"/>
    </row>
    <row r="327">
      <c r="A327" s="16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  <c r="AA327" s="16"/>
    </row>
    <row r="328">
      <c r="A328" s="16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  <c r="AA328" s="16"/>
    </row>
    <row r="329">
      <c r="A329" s="16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  <c r="AA329" s="16"/>
    </row>
    <row r="330">
      <c r="A330" s="16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  <c r="AA330" s="16"/>
    </row>
    <row r="331">
      <c r="A331" s="16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  <c r="AA331" s="16"/>
    </row>
    <row r="332">
      <c r="A332" s="16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  <c r="AA332" s="16"/>
    </row>
    <row r="333">
      <c r="A333" s="16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  <c r="AA333" s="16"/>
    </row>
    <row r="334">
      <c r="A334" s="16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  <c r="AA334" s="16"/>
    </row>
    <row r="335">
      <c r="A335" s="16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  <c r="AA335" s="16"/>
    </row>
    <row r="336">
      <c r="A336" s="16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  <c r="AA336" s="16"/>
    </row>
    <row r="337">
      <c r="A337" s="16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  <c r="AA337" s="16"/>
    </row>
    <row r="338">
      <c r="A338" s="16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6"/>
    </row>
    <row r="339">
      <c r="A339" s="16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  <c r="AA339" s="16"/>
    </row>
    <row r="340">
      <c r="A340" s="16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  <c r="AA340" s="16"/>
    </row>
    <row r="341">
      <c r="A341" s="16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  <c r="AA341" s="16"/>
    </row>
    <row r="342">
      <c r="A342" s="16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  <c r="AA342" s="16"/>
    </row>
    <row r="343">
      <c r="A343" s="16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  <c r="AA343" s="16"/>
    </row>
    <row r="344">
      <c r="A344" s="16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  <c r="AA344" s="16"/>
    </row>
    <row r="345">
      <c r="A345" s="16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  <c r="AA345" s="16"/>
    </row>
    <row r="346">
      <c r="A346" s="16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  <c r="AA346" s="16"/>
    </row>
    <row r="347">
      <c r="A347" s="16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  <c r="AA347" s="16"/>
    </row>
    <row r="348">
      <c r="A348" s="16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  <c r="AA348" s="16"/>
    </row>
    <row r="349">
      <c r="A349" s="16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  <c r="AA349" s="16"/>
    </row>
    <row r="350">
      <c r="A350" s="16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  <c r="AA350" s="16"/>
    </row>
    <row r="351">
      <c r="A351" s="16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  <c r="AA351" s="16"/>
    </row>
    <row r="352">
      <c r="A352" s="16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  <c r="AA352" s="16"/>
    </row>
    <row r="353">
      <c r="A353" s="16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  <c r="AA353" s="16"/>
    </row>
    <row r="354">
      <c r="A354" s="16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  <c r="AA354" s="16"/>
    </row>
    <row r="355">
      <c r="A355" s="16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  <c r="AA355" s="16"/>
    </row>
    <row r="356">
      <c r="A356" s="16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  <c r="AA356" s="16"/>
    </row>
    <row r="357">
      <c r="A357" s="16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  <c r="AA357" s="16"/>
    </row>
    <row r="358">
      <c r="A358" s="16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  <c r="AA358" s="16"/>
    </row>
    <row r="359">
      <c r="A359" s="16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  <c r="AA359" s="16"/>
    </row>
    <row r="360">
      <c r="A360" s="16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  <c r="AA360" s="16"/>
    </row>
    <row r="361">
      <c r="A361" s="16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  <c r="AA361" s="16"/>
    </row>
    <row r="362">
      <c r="A362" s="16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  <c r="AA362" s="16"/>
    </row>
    <row r="363">
      <c r="A363" s="16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  <c r="AA363" s="16"/>
    </row>
    <row r="364">
      <c r="A364" s="16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  <c r="AA364" s="16"/>
    </row>
    <row r="365">
      <c r="A365" s="16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  <c r="AA365" s="16"/>
    </row>
    <row r="366">
      <c r="A366" s="16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  <c r="AA366" s="16"/>
    </row>
    <row r="367">
      <c r="A367" s="16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  <c r="AA367" s="16"/>
    </row>
    <row r="368">
      <c r="A368" s="16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  <c r="AA368" s="16"/>
    </row>
    <row r="369">
      <c r="A369" s="16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  <c r="AA369" s="16"/>
    </row>
    <row r="370">
      <c r="A370" s="16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  <c r="AA370" s="16"/>
    </row>
    <row r="371">
      <c r="A371" s="16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  <c r="AA371" s="16"/>
    </row>
    <row r="372">
      <c r="A372" s="16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6"/>
    </row>
    <row r="373">
      <c r="A373" s="16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  <c r="AA373" s="16"/>
    </row>
    <row r="374">
      <c r="A374" s="16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  <c r="AA374" s="16"/>
    </row>
    <row r="375">
      <c r="A375" s="16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  <c r="AA375" s="16"/>
    </row>
    <row r="376">
      <c r="A376" s="16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  <c r="AA376" s="16"/>
    </row>
    <row r="377">
      <c r="A377" s="16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  <c r="AA377" s="16"/>
    </row>
    <row r="378">
      <c r="A378" s="16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  <c r="AA378" s="16"/>
    </row>
    <row r="379">
      <c r="A379" s="16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  <c r="AA379" s="16"/>
    </row>
    <row r="380">
      <c r="A380" s="16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  <c r="AA380" s="16"/>
    </row>
    <row r="381">
      <c r="A381" s="16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  <c r="AA381" s="16"/>
    </row>
    <row r="382">
      <c r="A382" s="16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  <c r="AA382" s="16"/>
    </row>
    <row r="383">
      <c r="A383" s="16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  <c r="AA383" s="16"/>
    </row>
    <row r="384">
      <c r="A384" s="16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  <c r="AA384" s="16"/>
    </row>
    <row r="385">
      <c r="A385" s="16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  <c r="AA385" s="16"/>
    </row>
    <row r="386">
      <c r="A386" s="16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  <c r="AA386" s="16"/>
    </row>
    <row r="387">
      <c r="A387" s="16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  <c r="AA387" s="16"/>
    </row>
    <row r="388">
      <c r="A388" s="16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  <c r="AA388" s="16"/>
    </row>
    <row r="389">
      <c r="A389" s="16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  <c r="AA389" s="16"/>
    </row>
    <row r="390">
      <c r="A390" s="16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  <c r="AA390" s="16"/>
    </row>
    <row r="391">
      <c r="A391" s="16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  <c r="AA391" s="16"/>
    </row>
    <row r="392">
      <c r="A392" s="16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  <c r="AA392" s="16"/>
    </row>
    <row r="393">
      <c r="A393" s="16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  <c r="AA393" s="16"/>
    </row>
    <row r="394">
      <c r="A394" s="16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  <c r="AA394" s="16"/>
    </row>
    <row r="395">
      <c r="A395" s="16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  <c r="AA395" s="16"/>
    </row>
    <row r="396">
      <c r="A396" s="16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  <c r="AA396" s="16"/>
    </row>
    <row r="397">
      <c r="A397" s="16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  <c r="AA397" s="16"/>
    </row>
    <row r="398">
      <c r="A398" s="16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  <c r="AA398" s="16"/>
    </row>
    <row r="399">
      <c r="A399" s="16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  <c r="AA399" s="16"/>
    </row>
    <row r="400">
      <c r="A400" s="16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  <c r="AA400" s="16"/>
    </row>
    <row r="401">
      <c r="A401" s="16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  <c r="AA401" s="16"/>
    </row>
    <row r="402">
      <c r="A402" s="16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  <c r="AA402" s="16"/>
    </row>
    <row r="403">
      <c r="A403" s="16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  <c r="AA403" s="16"/>
    </row>
    <row r="404">
      <c r="A404" s="16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  <c r="AA404" s="16"/>
    </row>
    <row r="405">
      <c r="A405" s="16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  <c r="AA405" s="16"/>
    </row>
    <row r="406">
      <c r="A406" s="16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  <c r="AA406" s="16"/>
    </row>
    <row r="407">
      <c r="A407" s="16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  <c r="AA407" s="16"/>
    </row>
    <row r="408">
      <c r="A408" s="16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  <c r="AA408" s="16"/>
    </row>
    <row r="409">
      <c r="A409" s="16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  <c r="AA409" s="16"/>
    </row>
    <row r="410">
      <c r="A410" s="16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  <c r="AA410" s="16"/>
    </row>
    <row r="411">
      <c r="A411" s="16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  <c r="AA411" s="16"/>
    </row>
    <row r="412">
      <c r="A412" s="16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  <c r="AA412" s="16"/>
    </row>
    <row r="413">
      <c r="A413" s="16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  <c r="AA413" s="16"/>
    </row>
    <row r="414">
      <c r="A414" s="16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  <c r="AA414" s="16"/>
    </row>
    <row r="415">
      <c r="A415" s="16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  <c r="AA415" s="16"/>
    </row>
    <row r="416">
      <c r="A416" s="16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  <c r="AA416" s="16"/>
    </row>
    <row r="417">
      <c r="A417" s="16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  <c r="AA417" s="16"/>
    </row>
    <row r="418">
      <c r="A418" s="16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  <c r="AA418" s="16"/>
    </row>
    <row r="419">
      <c r="A419" s="16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  <c r="AA419" s="16"/>
    </row>
    <row r="420">
      <c r="A420" s="16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  <c r="AA420" s="16"/>
    </row>
    <row r="421">
      <c r="A421" s="16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  <c r="AA421" s="16"/>
    </row>
    <row r="422">
      <c r="A422" s="16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  <c r="AA422" s="16"/>
    </row>
    <row r="423">
      <c r="A423" s="16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  <c r="AA423" s="16"/>
    </row>
    <row r="424">
      <c r="A424" s="16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  <c r="AA424" s="16"/>
    </row>
    <row r="425">
      <c r="A425" s="16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  <c r="AA425" s="16"/>
    </row>
    <row r="426">
      <c r="A426" s="16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  <c r="AA426" s="16"/>
    </row>
    <row r="427">
      <c r="A427" s="16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  <c r="AA427" s="16"/>
    </row>
    <row r="428">
      <c r="A428" s="16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  <c r="AA428" s="16"/>
    </row>
    <row r="429">
      <c r="A429" s="16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  <c r="AA429" s="16"/>
    </row>
    <row r="430">
      <c r="A430" s="16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  <c r="AA430" s="16"/>
    </row>
    <row r="431">
      <c r="A431" s="16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  <c r="AA431" s="16"/>
    </row>
    <row r="432">
      <c r="A432" s="16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  <c r="AA432" s="16"/>
    </row>
    <row r="433">
      <c r="A433" s="16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  <c r="AA433" s="16"/>
    </row>
    <row r="434">
      <c r="A434" s="16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  <c r="AA434" s="16"/>
    </row>
    <row r="435">
      <c r="A435" s="16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  <c r="AA435" s="16"/>
    </row>
    <row r="436">
      <c r="A436" s="16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  <c r="AA436" s="16"/>
    </row>
    <row r="437">
      <c r="A437" s="16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  <c r="AA437" s="16"/>
    </row>
    <row r="438">
      <c r="A438" s="16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  <c r="AA438" s="16"/>
    </row>
    <row r="439">
      <c r="A439" s="16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  <c r="AA439" s="16"/>
    </row>
    <row r="440">
      <c r="A440" s="16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  <c r="AA440" s="16"/>
    </row>
    <row r="441">
      <c r="A441" s="16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  <c r="AA441" s="16"/>
    </row>
    <row r="442">
      <c r="A442" s="16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  <c r="AA442" s="16"/>
    </row>
    <row r="443">
      <c r="A443" s="16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  <c r="AA443" s="16"/>
    </row>
    <row r="444">
      <c r="A444" s="16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  <c r="AA444" s="16"/>
    </row>
    <row r="445">
      <c r="A445" s="16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  <c r="AA445" s="16"/>
    </row>
    <row r="446">
      <c r="A446" s="16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  <c r="AA446" s="16"/>
    </row>
    <row r="447">
      <c r="A447" s="16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  <c r="AA447" s="16"/>
    </row>
    <row r="448">
      <c r="A448" s="16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  <c r="AA448" s="16"/>
    </row>
    <row r="449">
      <c r="A449" s="16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  <c r="AA449" s="16"/>
    </row>
    <row r="450">
      <c r="A450" s="16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  <c r="AA450" s="16"/>
    </row>
    <row r="451">
      <c r="A451" s="16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  <c r="AA451" s="16"/>
    </row>
    <row r="452">
      <c r="A452" s="16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  <c r="AA452" s="16"/>
    </row>
    <row r="453">
      <c r="A453" s="16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  <c r="AA453" s="16"/>
    </row>
    <row r="454">
      <c r="A454" s="16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  <c r="AA454" s="16"/>
    </row>
    <row r="455">
      <c r="A455" s="16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  <c r="AA455" s="16"/>
    </row>
    <row r="456">
      <c r="A456" s="16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  <c r="AA456" s="16"/>
    </row>
    <row r="457">
      <c r="A457" s="16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  <c r="AA457" s="16"/>
    </row>
    <row r="458">
      <c r="A458" s="16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  <c r="AA458" s="16"/>
    </row>
    <row r="459">
      <c r="A459" s="16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  <c r="AA459" s="16"/>
    </row>
    <row r="460">
      <c r="A460" s="16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  <c r="AA460" s="16"/>
    </row>
    <row r="461">
      <c r="A461" s="16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  <c r="AA461" s="16"/>
    </row>
    <row r="462">
      <c r="A462" s="16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  <c r="AA462" s="16"/>
    </row>
    <row r="463">
      <c r="A463" s="16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  <c r="AA463" s="16"/>
    </row>
    <row r="464">
      <c r="A464" s="16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  <c r="AA464" s="16"/>
    </row>
    <row r="465">
      <c r="A465" s="16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  <c r="AA465" s="16"/>
    </row>
    <row r="466">
      <c r="A466" s="16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  <c r="AA466" s="16"/>
    </row>
    <row r="467">
      <c r="A467" s="16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  <c r="AA467" s="16"/>
    </row>
    <row r="468">
      <c r="A468" s="16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  <c r="AA468" s="16"/>
    </row>
    <row r="469">
      <c r="A469" s="16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  <c r="AA469" s="16"/>
    </row>
    <row r="470">
      <c r="A470" s="16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  <c r="AA470" s="16"/>
    </row>
    <row r="471">
      <c r="A471" s="16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  <c r="AA471" s="16"/>
    </row>
    <row r="472">
      <c r="A472" s="16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  <c r="AA472" s="16"/>
    </row>
    <row r="473">
      <c r="A473" s="16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  <c r="AA473" s="16"/>
    </row>
    <row r="474">
      <c r="A474" s="16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  <c r="AA474" s="16"/>
    </row>
    <row r="475">
      <c r="A475" s="16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  <c r="AA475" s="16"/>
    </row>
    <row r="476">
      <c r="A476" s="16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  <c r="AA476" s="16"/>
    </row>
    <row r="477">
      <c r="A477" s="16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  <c r="AA477" s="16"/>
    </row>
    <row r="478">
      <c r="A478" s="16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  <c r="AA478" s="16"/>
    </row>
    <row r="479">
      <c r="A479" s="16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  <c r="AA479" s="16"/>
    </row>
    <row r="480">
      <c r="A480" s="16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  <c r="AA480" s="16"/>
    </row>
    <row r="481">
      <c r="A481" s="16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  <c r="AA481" s="16"/>
    </row>
    <row r="482">
      <c r="A482" s="16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  <c r="AA482" s="16"/>
    </row>
    <row r="483">
      <c r="A483" s="16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  <c r="AA483" s="16"/>
    </row>
    <row r="484">
      <c r="A484" s="16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  <c r="AA484" s="16"/>
    </row>
    <row r="485">
      <c r="A485" s="16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  <c r="AA485" s="16"/>
    </row>
    <row r="486">
      <c r="A486" s="16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  <c r="AA486" s="16"/>
    </row>
    <row r="487">
      <c r="A487" s="16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  <c r="AA487" s="16"/>
    </row>
    <row r="488">
      <c r="A488" s="16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  <c r="AA488" s="16"/>
    </row>
    <row r="489">
      <c r="A489" s="16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  <c r="AA489" s="16"/>
    </row>
    <row r="490">
      <c r="A490" s="16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  <c r="AA490" s="16"/>
    </row>
    <row r="491">
      <c r="A491" s="16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  <c r="AA491" s="16"/>
    </row>
    <row r="492">
      <c r="A492" s="16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  <c r="AA492" s="16"/>
    </row>
    <row r="493">
      <c r="A493" s="16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  <c r="AA493" s="16"/>
    </row>
    <row r="494">
      <c r="A494" s="16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  <c r="AA494" s="16"/>
    </row>
    <row r="495">
      <c r="A495" s="16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  <c r="AA495" s="16"/>
    </row>
    <row r="496">
      <c r="A496" s="16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  <c r="AA496" s="16"/>
    </row>
    <row r="497">
      <c r="A497" s="16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  <c r="AA497" s="16"/>
    </row>
    <row r="498">
      <c r="A498" s="16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  <c r="AA498" s="16"/>
    </row>
    <row r="499">
      <c r="A499" s="16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  <c r="AA499" s="16"/>
    </row>
    <row r="500">
      <c r="A500" s="16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  <c r="AA500" s="16"/>
    </row>
    <row r="501">
      <c r="A501" s="16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  <c r="AA501" s="16"/>
    </row>
    <row r="502">
      <c r="A502" s="16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  <c r="AA502" s="16"/>
    </row>
    <row r="503">
      <c r="A503" s="16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  <c r="AA503" s="16"/>
    </row>
    <row r="504">
      <c r="A504" s="16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  <c r="AA504" s="16"/>
    </row>
    <row r="505">
      <c r="A505" s="16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  <c r="AA505" s="16"/>
    </row>
    <row r="506">
      <c r="A506" s="16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  <c r="AA506" s="16"/>
    </row>
    <row r="507">
      <c r="A507" s="16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  <c r="AA507" s="16"/>
    </row>
    <row r="508">
      <c r="A508" s="16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  <c r="AA508" s="16"/>
    </row>
    <row r="509">
      <c r="A509" s="16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  <c r="AA509" s="16"/>
    </row>
    <row r="510">
      <c r="A510" s="16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  <c r="AA510" s="16"/>
    </row>
    <row r="511">
      <c r="A511" s="16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  <c r="AA511" s="16"/>
    </row>
    <row r="512">
      <c r="A512" s="16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  <c r="AA512" s="16"/>
    </row>
    <row r="513">
      <c r="A513" s="16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  <c r="AA513" s="16"/>
    </row>
    <row r="514">
      <c r="A514" s="16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  <c r="AA514" s="16"/>
    </row>
    <row r="515">
      <c r="A515" s="16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  <c r="AA515" s="16"/>
    </row>
    <row r="516">
      <c r="A516" s="16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  <c r="AA516" s="16"/>
    </row>
    <row r="517">
      <c r="A517" s="16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  <c r="AA517" s="16"/>
    </row>
    <row r="518">
      <c r="A518" s="16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  <c r="AA518" s="16"/>
    </row>
    <row r="519">
      <c r="A519" s="16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  <c r="AA519" s="16"/>
    </row>
    <row r="520">
      <c r="A520" s="16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  <c r="AA520" s="16"/>
    </row>
    <row r="521">
      <c r="A521" s="16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  <c r="AA521" s="16"/>
    </row>
    <row r="522">
      <c r="A522" s="16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  <c r="AA522" s="16"/>
    </row>
    <row r="523">
      <c r="A523" s="16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  <c r="AA523" s="16"/>
    </row>
    <row r="524">
      <c r="A524" s="16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  <c r="AA524" s="16"/>
    </row>
    <row r="525">
      <c r="A525" s="16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  <c r="AA525" s="16"/>
    </row>
    <row r="526">
      <c r="A526" s="16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  <c r="AA526" s="16"/>
    </row>
    <row r="527">
      <c r="A527" s="16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  <c r="AA527" s="16"/>
    </row>
    <row r="528">
      <c r="A528" s="16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  <c r="AA528" s="16"/>
    </row>
    <row r="529">
      <c r="A529" s="16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  <c r="AA529" s="16"/>
    </row>
    <row r="530">
      <c r="A530" s="16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  <c r="AA530" s="16"/>
    </row>
    <row r="531">
      <c r="A531" s="16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  <c r="AA531" s="16"/>
    </row>
    <row r="532">
      <c r="A532" s="16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  <c r="AA532" s="16"/>
    </row>
    <row r="533">
      <c r="A533" s="16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  <c r="AA533" s="16"/>
    </row>
    <row r="534">
      <c r="A534" s="16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  <c r="AA534" s="16"/>
    </row>
    <row r="535">
      <c r="A535" s="16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  <c r="AA535" s="16"/>
    </row>
    <row r="536">
      <c r="A536" s="16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  <c r="AA536" s="16"/>
    </row>
    <row r="537">
      <c r="A537" s="16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  <c r="AA537" s="16"/>
    </row>
    <row r="538">
      <c r="A538" s="16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  <c r="AA538" s="16"/>
    </row>
    <row r="539">
      <c r="A539" s="16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  <c r="AA539" s="16"/>
    </row>
    <row r="540">
      <c r="A540" s="16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  <c r="AA540" s="16"/>
    </row>
    <row r="541">
      <c r="A541" s="16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  <c r="AA541" s="16"/>
    </row>
    <row r="542">
      <c r="A542" s="16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  <c r="AA542" s="16"/>
    </row>
    <row r="543">
      <c r="A543" s="16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  <c r="AA543" s="16"/>
    </row>
    <row r="544">
      <c r="A544" s="16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  <c r="AA544" s="16"/>
    </row>
    <row r="545">
      <c r="A545" s="16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  <c r="AA545" s="16"/>
    </row>
    <row r="546">
      <c r="A546" s="16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  <c r="AA546" s="16"/>
    </row>
    <row r="547">
      <c r="A547" s="16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  <c r="AA547" s="16"/>
    </row>
    <row r="548">
      <c r="A548" s="16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  <c r="AA548" s="16"/>
    </row>
    <row r="549">
      <c r="A549" s="16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  <c r="AA549" s="16"/>
    </row>
    <row r="550">
      <c r="A550" s="16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  <c r="AA550" s="16"/>
    </row>
    <row r="551">
      <c r="A551" s="16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  <c r="AA551" s="16"/>
    </row>
    <row r="552">
      <c r="A552" s="16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  <c r="AA552" s="16"/>
    </row>
    <row r="553">
      <c r="A553" s="16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  <c r="AA553" s="16"/>
    </row>
    <row r="554">
      <c r="A554" s="16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  <c r="AA554" s="16"/>
    </row>
    <row r="555">
      <c r="A555" s="16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  <c r="AA555" s="16"/>
    </row>
    <row r="556">
      <c r="A556" s="16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  <c r="AA556" s="16"/>
    </row>
    <row r="557">
      <c r="A557" s="16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  <c r="AA557" s="16"/>
    </row>
    <row r="558">
      <c r="A558" s="16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  <c r="AA558" s="16"/>
    </row>
    <row r="559">
      <c r="A559" s="16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  <c r="AA559" s="16"/>
    </row>
    <row r="560">
      <c r="A560" s="16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  <c r="AA560" s="16"/>
    </row>
    <row r="561">
      <c r="A561" s="16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  <c r="AA561" s="16"/>
    </row>
    <row r="562">
      <c r="A562" s="16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  <c r="AA562" s="16"/>
    </row>
    <row r="563">
      <c r="A563" s="16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  <c r="AA563" s="16"/>
    </row>
    <row r="564">
      <c r="A564" s="16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  <c r="AA564" s="16"/>
    </row>
    <row r="565">
      <c r="A565" s="16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  <c r="AA565" s="16"/>
    </row>
    <row r="566">
      <c r="A566" s="16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  <c r="AA566" s="16"/>
    </row>
    <row r="567">
      <c r="A567" s="16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  <c r="AA567" s="16"/>
    </row>
    <row r="568">
      <c r="A568" s="16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  <c r="AA568" s="16"/>
    </row>
    <row r="569">
      <c r="A569" s="16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  <c r="AA569" s="16"/>
    </row>
    <row r="570">
      <c r="A570" s="16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  <c r="AA570" s="16"/>
    </row>
    <row r="571">
      <c r="A571" s="16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  <c r="AA571" s="16"/>
    </row>
    <row r="572">
      <c r="A572" s="16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  <c r="AA572" s="16"/>
    </row>
    <row r="573">
      <c r="A573" s="16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  <c r="AA573" s="16"/>
    </row>
    <row r="574">
      <c r="A574" s="16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  <c r="AA574" s="16"/>
    </row>
    <row r="575">
      <c r="A575" s="16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  <c r="AA575" s="16"/>
    </row>
    <row r="576">
      <c r="A576" s="16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  <c r="AA576" s="16"/>
    </row>
    <row r="577">
      <c r="A577" s="16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  <c r="AA577" s="16"/>
    </row>
    <row r="578">
      <c r="A578" s="16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  <c r="AA578" s="16"/>
    </row>
    <row r="579">
      <c r="A579" s="16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  <c r="AA579" s="16"/>
    </row>
    <row r="580">
      <c r="A580" s="16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  <c r="AA580" s="16"/>
    </row>
    <row r="581">
      <c r="A581" s="16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  <c r="AA581" s="16"/>
    </row>
    <row r="582">
      <c r="A582" s="16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  <c r="AA582" s="16"/>
    </row>
    <row r="583">
      <c r="A583" s="16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  <c r="AA583" s="16"/>
    </row>
    <row r="584">
      <c r="A584" s="16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  <c r="AA584" s="16"/>
    </row>
    <row r="585">
      <c r="A585" s="16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  <c r="AA585" s="16"/>
    </row>
    <row r="586">
      <c r="A586" s="16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  <c r="AA586" s="16"/>
    </row>
    <row r="587">
      <c r="A587" s="16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  <c r="AA587" s="16"/>
    </row>
    <row r="588">
      <c r="A588" s="16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  <c r="AA588" s="16"/>
    </row>
    <row r="589">
      <c r="A589" s="16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  <c r="AA589" s="16"/>
    </row>
    <row r="590">
      <c r="A590" s="16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  <c r="AA590" s="16"/>
    </row>
    <row r="591">
      <c r="A591" s="16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  <c r="AA591" s="16"/>
    </row>
    <row r="592">
      <c r="A592" s="16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  <c r="AA592" s="16"/>
    </row>
    <row r="593">
      <c r="A593" s="16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  <c r="AA593" s="16"/>
    </row>
    <row r="594">
      <c r="A594" s="16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  <c r="AA594" s="16"/>
    </row>
    <row r="595">
      <c r="A595" s="16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  <c r="AA595" s="16"/>
    </row>
    <row r="596">
      <c r="A596" s="16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  <c r="AA596" s="16"/>
    </row>
    <row r="597">
      <c r="A597" s="16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  <c r="AA597" s="16"/>
    </row>
    <row r="598">
      <c r="A598" s="16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  <c r="AA598" s="16"/>
    </row>
    <row r="599">
      <c r="A599" s="16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  <c r="AA599" s="16"/>
    </row>
    <row r="600">
      <c r="A600" s="16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  <c r="AA600" s="16"/>
    </row>
    <row r="601">
      <c r="A601" s="16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  <c r="AA601" s="16"/>
    </row>
    <row r="602">
      <c r="A602" s="16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  <c r="AA602" s="16"/>
    </row>
    <row r="603">
      <c r="A603" s="16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  <c r="AA603" s="16"/>
    </row>
    <row r="604">
      <c r="A604" s="16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  <c r="AA604" s="16"/>
    </row>
    <row r="605">
      <c r="A605" s="16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  <c r="AA605" s="16"/>
    </row>
    <row r="606">
      <c r="A606" s="16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  <c r="AA606" s="16"/>
    </row>
    <row r="607">
      <c r="A607" s="16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  <c r="AA607" s="16"/>
    </row>
    <row r="608">
      <c r="A608" s="16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  <c r="AA608" s="16"/>
    </row>
    <row r="609">
      <c r="A609" s="16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  <c r="AA609" s="16"/>
    </row>
    <row r="610">
      <c r="A610" s="16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  <c r="AA610" s="16"/>
    </row>
    <row r="611">
      <c r="A611" s="16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  <c r="AA611" s="16"/>
    </row>
    <row r="612">
      <c r="A612" s="16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  <c r="AA612" s="16"/>
    </row>
    <row r="613">
      <c r="A613" s="16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  <c r="AA613" s="16"/>
    </row>
    <row r="614">
      <c r="A614" s="16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  <c r="AA614" s="16"/>
    </row>
    <row r="615">
      <c r="A615" s="16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  <c r="AA615" s="16"/>
    </row>
    <row r="616">
      <c r="A616" s="16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  <c r="AA616" s="16"/>
    </row>
    <row r="617">
      <c r="A617" s="16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  <c r="AA617" s="16"/>
    </row>
    <row r="618">
      <c r="A618" s="16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  <c r="AA618" s="16"/>
    </row>
    <row r="619">
      <c r="A619" s="16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  <c r="AA619" s="16"/>
    </row>
    <row r="620">
      <c r="A620" s="16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  <c r="AA620" s="16"/>
    </row>
    <row r="621">
      <c r="A621" s="16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  <c r="AA621" s="16"/>
    </row>
    <row r="622">
      <c r="A622" s="16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  <c r="AA622" s="16"/>
    </row>
    <row r="623">
      <c r="A623" s="16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  <c r="AA623" s="16"/>
    </row>
    <row r="624">
      <c r="A624" s="16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  <c r="AA624" s="16"/>
    </row>
    <row r="625">
      <c r="A625" s="16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  <c r="AA625" s="16"/>
    </row>
    <row r="626">
      <c r="A626" s="16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  <c r="AA626" s="16"/>
    </row>
    <row r="627">
      <c r="A627" s="16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  <c r="AA627" s="16"/>
    </row>
    <row r="628">
      <c r="A628" s="16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  <c r="AA628" s="16"/>
    </row>
    <row r="629">
      <c r="A629" s="16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  <c r="AA629" s="16"/>
    </row>
    <row r="630">
      <c r="A630" s="16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  <c r="AA630" s="16"/>
    </row>
    <row r="631">
      <c r="A631" s="16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  <c r="AA631" s="16"/>
    </row>
    <row r="632">
      <c r="A632" s="16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  <c r="AA632" s="16"/>
    </row>
    <row r="633">
      <c r="A633" s="16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  <c r="AA633" s="16"/>
    </row>
    <row r="634">
      <c r="A634" s="16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  <c r="AA634" s="16"/>
    </row>
    <row r="635">
      <c r="A635" s="16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  <c r="AA635" s="16"/>
    </row>
    <row r="636">
      <c r="A636" s="16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  <c r="AA636" s="16"/>
    </row>
    <row r="637">
      <c r="A637" s="16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  <c r="AA637" s="16"/>
    </row>
    <row r="638">
      <c r="A638" s="16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  <c r="AA638" s="16"/>
    </row>
    <row r="639">
      <c r="A639" s="16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  <c r="AA639" s="16"/>
    </row>
    <row r="640">
      <c r="A640" s="16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  <c r="AA640" s="16"/>
    </row>
    <row r="641">
      <c r="A641" s="16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  <c r="AA641" s="16"/>
    </row>
    <row r="642">
      <c r="A642" s="16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  <c r="AA642" s="16"/>
    </row>
    <row r="643">
      <c r="A643" s="16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  <c r="AA643" s="16"/>
    </row>
    <row r="644">
      <c r="A644" s="16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  <c r="AA644" s="16"/>
    </row>
    <row r="645">
      <c r="A645" s="16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  <c r="AA645" s="16"/>
    </row>
    <row r="646">
      <c r="A646" s="16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  <c r="AA646" s="16"/>
    </row>
    <row r="647">
      <c r="A647" s="16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  <c r="AA647" s="16"/>
    </row>
    <row r="648">
      <c r="A648" s="16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  <c r="AA648" s="16"/>
    </row>
    <row r="649">
      <c r="A649" s="16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  <c r="AA649" s="16"/>
    </row>
    <row r="650">
      <c r="A650" s="16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  <c r="AA650" s="16"/>
    </row>
    <row r="651">
      <c r="A651" s="16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  <c r="AA651" s="16"/>
    </row>
    <row r="652">
      <c r="A652" s="16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  <c r="AA652" s="16"/>
    </row>
    <row r="653">
      <c r="A653" s="16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  <c r="AA653" s="16"/>
    </row>
    <row r="654">
      <c r="A654" s="16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  <c r="AA654" s="16"/>
    </row>
    <row r="655">
      <c r="A655" s="16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  <c r="AA655" s="16"/>
    </row>
    <row r="656">
      <c r="A656" s="16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  <c r="AA656" s="16"/>
    </row>
    <row r="657">
      <c r="A657" s="16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  <c r="AA657" s="16"/>
    </row>
    <row r="658">
      <c r="A658" s="16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  <c r="AA658" s="16"/>
    </row>
    <row r="659">
      <c r="A659" s="16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  <c r="AA659" s="16"/>
    </row>
    <row r="660">
      <c r="A660" s="16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  <c r="AA660" s="16"/>
    </row>
    <row r="661">
      <c r="A661" s="16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  <c r="AA661" s="16"/>
    </row>
    <row r="662">
      <c r="A662" s="16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  <c r="AA662" s="16"/>
    </row>
    <row r="663">
      <c r="A663" s="16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  <c r="AA663" s="16"/>
    </row>
    <row r="664">
      <c r="A664" s="16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  <c r="AA664" s="16"/>
    </row>
    <row r="665">
      <c r="A665" s="16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  <c r="AA665" s="16"/>
    </row>
    <row r="666">
      <c r="A666" s="16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  <c r="AA666" s="16"/>
    </row>
    <row r="667">
      <c r="A667" s="16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  <c r="AA667" s="16"/>
    </row>
    <row r="668">
      <c r="A668" s="16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  <c r="AA668" s="16"/>
    </row>
    <row r="669">
      <c r="A669" s="16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  <c r="AA669" s="16"/>
    </row>
    <row r="670">
      <c r="A670" s="16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  <c r="AA670" s="16"/>
    </row>
    <row r="671">
      <c r="A671" s="16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  <c r="AA671" s="16"/>
    </row>
    <row r="672">
      <c r="A672" s="16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  <c r="AA672" s="16"/>
    </row>
    <row r="673">
      <c r="A673" s="16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  <c r="AA673" s="16"/>
    </row>
    <row r="674">
      <c r="A674" s="16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  <c r="AA674" s="16"/>
    </row>
    <row r="675">
      <c r="A675" s="16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  <c r="AA675" s="16"/>
    </row>
    <row r="676">
      <c r="A676" s="16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  <c r="AA676" s="16"/>
    </row>
    <row r="677">
      <c r="A677" s="16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  <c r="AA677" s="16"/>
    </row>
    <row r="678">
      <c r="A678" s="16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  <c r="AA678" s="16"/>
    </row>
    <row r="679">
      <c r="A679" s="16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  <c r="AA679" s="16"/>
    </row>
    <row r="680">
      <c r="A680" s="16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  <c r="AA680" s="16"/>
    </row>
    <row r="681">
      <c r="A681" s="16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  <c r="AA681" s="16"/>
    </row>
    <row r="682">
      <c r="A682" s="16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  <c r="AA682" s="16"/>
    </row>
    <row r="683">
      <c r="A683" s="16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  <c r="AA683" s="16"/>
    </row>
    <row r="684">
      <c r="A684" s="16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  <c r="AA684" s="16"/>
    </row>
    <row r="685">
      <c r="A685" s="16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  <c r="AA685" s="16"/>
    </row>
    <row r="686">
      <c r="A686" s="16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  <c r="AA686" s="16"/>
    </row>
    <row r="687">
      <c r="A687" s="16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  <c r="AA687" s="16"/>
    </row>
    <row r="688">
      <c r="A688" s="16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  <c r="AA688" s="16"/>
    </row>
    <row r="689">
      <c r="A689" s="16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  <c r="AA689" s="16"/>
    </row>
    <row r="690">
      <c r="A690" s="16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  <c r="AA690" s="16"/>
    </row>
    <row r="691">
      <c r="A691" s="16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  <c r="AA691" s="16"/>
    </row>
    <row r="692">
      <c r="A692" s="16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  <c r="AA692" s="16"/>
    </row>
    <row r="693">
      <c r="A693" s="16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  <c r="AA693" s="16"/>
    </row>
    <row r="694">
      <c r="A694" s="16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  <c r="AA694" s="16"/>
    </row>
    <row r="695">
      <c r="A695" s="16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  <c r="AA695" s="16"/>
    </row>
    <row r="696">
      <c r="A696" s="16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  <c r="AA696" s="16"/>
    </row>
    <row r="697">
      <c r="A697" s="16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  <c r="AA697" s="16"/>
    </row>
    <row r="698">
      <c r="A698" s="16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  <c r="AA698" s="16"/>
    </row>
    <row r="699">
      <c r="A699" s="16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  <c r="AA699" s="16"/>
    </row>
    <row r="700">
      <c r="A700" s="16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  <c r="AA700" s="16"/>
    </row>
    <row r="701">
      <c r="A701" s="16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  <c r="AA701" s="16"/>
    </row>
    <row r="702">
      <c r="A702" s="16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  <c r="AA702" s="16"/>
    </row>
    <row r="703">
      <c r="A703" s="16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  <c r="AA703" s="16"/>
    </row>
    <row r="704">
      <c r="A704" s="16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  <c r="AA704" s="16"/>
    </row>
    <row r="705">
      <c r="A705" s="16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  <c r="AA705" s="16"/>
    </row>
    <row r="706">
      <c r="A706" s="16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  <c r="AA706" s="16"/>
    </row>
    <row r="707">
      <c r="A707" s="16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  <c r="AA707" s="16"/>
    </row>
    <row r="708">
      <c r="A708" s="16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  <c r="AA708" s="16"/>
    </row>
    <row r="709">
      <c r="A709" s="16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  <c r="AA709" s="16"/>
    </row>
    <row r="710">
      <c r="A710" s="16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  <c r="AA710" s="16"/>
    </row>
    <row r="711">
      <c r="A711" s="16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  <c r="AA711" s="16"/>
    </row>
    <row r="712">
      <c r="A712" s="16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  <c r="AA712" s="16"/>
    </row>
    <row r="713">
      <c r="A713" s="16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  <c r="AA713" s="16"/>
    </row>
    <row r="714">
      <c r="A714" s="16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  <c r="AA714" s="16"/>
    </row>
    <row r="715">
      <c r="A715" s="16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  <c r="AA715" s="16"/>
    </row>
    <row r="716">
      <c r="A716" s="16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  <c r="AA716" s="16"/>
    </row>
    <row r="717">
      <c r="A717" s="16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  <c r="AA717" s="16"/>
    </row>
    <row r="718">
      <c r="A718" s="16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  <c r="AA718" s="16"/>
    </row>
    <row r="719">
      <c r="A719" s="64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  <c r="AA719" s="64"/>
    </row>
    <row r="720">
      <c r="A720" s="64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  <c r="AA720" s="64"/>
    </row>
    <row r="721">
      <c r="A721" s="64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  <c r="AA721" s="64"/>
    </row>
    <row r="722">
      <c r="A722" s="64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  <c r="AA722" s="64"/>
    </row>
    <row r="723">
      <c r="A723" s="64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  <c r="AA723" s="64"/>
    </row>
    <row r="724">
      <c r="A724" s="64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  <c r="AA724" s="64"/>
    </row>
    <row r="725">
      <c r="A725" s="64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  <c r="AA725" s="64"/>
    </row>
    <row r="726">
      <c r="A726" s="64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  <c r="AA726" s="64"/>
    </row>
    <row r="727">
      <c r="A727" s="64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  <c r="AA727" s="64"/>
    </row>
    <row r="728">
      <c r="A728" s="64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  <c r="AA728" s="64"/>
    </row>
    <row r="729">
      <c r="A729" s="64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  <c r="AA729" s="64"/>
    </row>
    <row r="730">
      <c r="A730" s="64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  <c r="AA730" s="64"/>
    </row>
    <row r="731">
      <c r="A731" s="64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  <c r="AA731" s="64"/>
    </row>
    <row r="732">
      <c r="A732" s="64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  <c r="AA732" s="64"/>
    </row>
    <row r="733">
      <c r="A733" s="64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  <c r="AA733" s="64"/>
    </row>
    <row r="734">
      <c r="A734" s="64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  <c r="AA734" s="64"/>
    </row>
    <row r="735">
      <c r="A735" s="64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  <c r="AA735" s="64"/>
    </row>
    <row r="736">
      <c r="A736" s="64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  <c r="AA736" s="64"/>
    </row>
    <row r="737">
      <c r="A737" s="64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  <c r="AA737" s="64"/>
    </row>
    <row r="738">
      <c r="A738" s="64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  <c r="AA738" s="64"/>
    </row>
    <row r="739">
      <c r="A739" s="64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  <c r="AA739" s="64"/>
    </row>
    <row r="740">
      <c r="A740" s="64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  <c r="AA740" s="64"/>
    </row>
    <row r="741">
      <c r="A741" s="64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  <c r="AA741" s="64"/>
    </row>
    <row r="742">
      <c r="A742" s="64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  <c r="AA742" s="64"/>
    </row>
    <row r="743">
      <c r="A743" s="64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  <c r="AA743" s="64"/>
    </row>
    <row r="744">
      <c r="A744" s="64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  <c r="AA744" s="64"/>
    </row>
    <row r="745">
      <c r="A745" s="64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  <c r="AA745" s="64"/>
    </row>
    <row r="746">
      <c r="A746" s="64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  <c r="AA746" s="64"/>
    </row>
    <row r="747">
      <c r="A747" s="64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  <c r="AA747" s="64"/>
    </row>
    <row r="748">
      <c r="A748" s="64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  <c r="AA748" s="64"/>
    </row>
    <row r="749">
      <c r="A749" s="64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  <c r="AA749" s="64"/>
    </row>
    <row r="750">
      <c r="A750" s="64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  <c r="AA750" s="64"/>
    </row>
    <row r="751">
      <c r="A751" s="64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  <c r="AA751" s="64"/>
    </row>
    <row r="752">
      <c r="A752" s="64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  <c r="AA752" s="64"/>
    </row>
    <row r="753">
      <c r="A753" s="64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  <c r="AA753" s="64"/>
    </row>
    <row r="754">
      <c r="A754" s="64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  <c r="AA754" s="64"/>
    </row>
    <row r="755">
      <c r="A755" s="64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  <c r="AA755" s="64"/>
    </row>
    <row r="756">
      <c r="A756" s="64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  <c r="AA756" s="64"/>
    </row>
    <row r="757">
      <c r="A757" s="64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  <c r="AA757" s="64"/>
    </row>
    <row r="758">
      <c r="A758" s="64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  <c r="AA758" s="64"/>
    </row>
    <row r="759">
      <c r="A759" s="64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  <c r="AA759" s="64"/>
    </row>
    <row r="760">
      <c r="A760" s="64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  <c r="AA760" s="64"/>
    </row>
    <row r="761">
      <c r="A761" s="64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  <c r="AA761" s="64"/>
    </row>
    <row r="762">
      <c r="A762" s="64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  <c r="AA762" s="64"/>
    </row>
    <row r="763">
      <c r="A763" s="64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  <c r="AA763" s="64"/>
    </row>
    <row r="764">
      <c r="A764" s="64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  <c r="AA764" s="64"/>
    </row>
    <row r="765">
      <c r="A765" s="64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  <c r="AA765" s="64"/>
    </row>
    <row r="766">
      <c r="A766" s="64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  <c r="AA766" s="64"/>
    </row>
    <row r="767">
      <c r="A767" s="64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  <c r="AA767" s="64"/>
    </row>
    <row r="768">
      <c r="A768" s="64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  <c r="AA768" s="64"/>
    </row>
    <row r="769">
      <c r="A769" s="64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  <c r="AA769" s="64"/>
    </row>
    <row r="770">
      <c r="A770" s="64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  <c r="AA770" s="64"/>
    </row>
    <row r="771">
      <c r="A771" s="64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  <c r="AA771" s="64"/>
    </row>
    <row r="772">
      <c r="A772" s="64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  <c r="AA772" s="64"/>
    </row>
    <row r="773">
      <c r="A773" s="64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  <c r="AA773" s="64"/>
    </row>
    <row r="774">
      <c r="A774" s="64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  <c r="AA774" s="64"/>
    </row>
    <row r="775">
      <c r="A775" s="64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  <c r="AA775" s="64"/>
    </row>
    <row r="776">
      <c r="A776" s="64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  <c r="AA776" s="64"/>
    </row>
    <row r="777">
      <c r="A777" s="64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  <c r="AA777" s="64"/>
    </row>
    <row r="778">
      <c r="A778" s="64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  <c r="AA778" s="64"/>
    </row>
    <row r="779">
      <c r="A779" s="64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  <c r="AA779" s="64"/>
    </row>
    <row r="780">
      <c r="A780" s="64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  <c r="AA780" s="64"/>
    </row>
    <row r="781">
      <c r="A781" s="64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  <c r="AA781" s="64"/>
    </row>
    <row r="782">
      <c r="A782" s="64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  <c r="AA782" s="64"/>
    </row>
    <row r="783">
      <c r="A783" s="64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  <c r="AA783" s="64"/>
    </row>
    <row r="784">
      <c r="A784" s="64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  <c r="AA784" s="64"/>
    </row>
    <row r="785">
      <c r="A785" s="64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  <c r="AA785" s="64"/>
    </row>
    <row r="786">
      <c r="A786" s="64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  <c r="AA786" s="64"/>
    </row>
    <row r="787">
      <c r="A787" s="64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  <c r="AA787" s="64"/>
    </row>
    <row r="788">
      <c r="A788" s="64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  <c r="AA788" s="64"/>
    </row>
    <row r="789">
      <c r="A789" s="64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  <c r="AA789" s="64"/>
    </row>
    <row r="790">
      <c r="A790" s="64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  <c r="AA790" s="64"/>
    </row>
    <row r="791">
      <c r="A791" s="64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  <c r="AA791" s="64"/>
    </row>
    <row r="792">
      <c r="A792" s="64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  <c r="AA792" s="64"/>
    </row>
    <row r="793">
      <c r="A793" s="64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  <c r="AA793" s="64"/>
    </row>
    <row r="794">
      <c r="A794" s="64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  <c r="AA794" s="64"/>
    </row>
    <row r="795">
      <c r="A795" s="64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  <c r="AA795" s="64"/>
    </row>
    <row r="796">
      <c r="A796" s="64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  <c r="AA796" s="64"/>
    </row>
    <row r="797">
      <c r="A797" s="64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  <c r="AA797" s="64"/>
    </row>
  </sheetData>
  <mergeCells count="1">
    <mergeCell ref="B2:C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56.88"/>
    <col customWidth="1" min="4" max="4" width="13.75"/>
  </cols>
  <sheetData>
    <row r="1">
      <c r="A1" s="151" t="s">
        <v>517</v>
      </c>
      <c r="B1" s="11"/>
      <c r="C1" s="11"/>
      <c r="D1" s="12"/>
      <c r="E1" s="64"/>
      <c r="F1" s="8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152" t="s">
        <v>518</v>
      </c>
      <c r="B2" s="153" t="s">
        <v>519</v>
      </c>
      <c r="C2" s="11"/>
      <c r="D2" s="12"/>
      <c r="E2" s="64"/>
      <c r="F2" s="8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152" t="s">
        <v>520</v>
      </c>
      <c r="B3" s="153" t="s">
        <v>521</v>
      </c>
      <c r="C3" s="11"/>
      <c r="D3" s="12"/>
      <c r="E3" s="64"/>
      <c r="F3" s="8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152" t="s">
        <v>522</v>
      </c>
      <c r="B4" s="153" t="s">
        <v>523</v>
      </c>
      <c r="C4" s="11"/>
      <c r="D4" s="12"/>
      <c r="E4" s="64"/>
      <c r="F4" s="8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152" t="s">
        <v>524</v>
      </c>
      <c r="B5" s="153" t="s">
        <v>525</v>
      </c>
      <c r="C5" s="11"/>
      <c r="D5" s="12"/>
      <c r="E5" s="64"/>
      <c r="F5" s="8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152" t="s">
        <v>44</v>
      </c>
      <c r="B6" s="153" t="s">
        <v>526</v>
      </c>
      <c r="C6" s="11"/>
      <c r="D6" s="12"/>
      <c r="E6" s="64"/>
      <c r="F6" s="8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152" t="s">
        <v>527</v>
      </c>
      <c r="B7" s="153" t="s">
        <v>528</v>
      </c>
      <c r="C7" s="11"/>
      <c r="D7" s="12"/>
      <c r="E7" s="64"/>
      <c r="F7" s="8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152" t="s">
        <v>529</v>
      </c>
      <c r="B8" s="153" t="s">
        <v>530</v>
      </c>
      <c r="C8" s="11"/>
      <c r="D8" s="12"/>
      <c r="E8" s="64"/>
      <c r="F8" s="8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152" t="s">
        <v>531</v>
      </c>
      <c r="B9" s="153" t="s">
        <v>532</v>
      </c>
      <c r="C9" s="11"/>
      <c r="D9" s="12"/>
      <c r="E9" s="64"/>
      <c r="F9" s="8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152" t="s">
        <v>533</v>
      </c>
      <c r="B10" s="153" t="s">
        <v>534</v>
      </c>
      <c r="C10" s="11"/>
      <c r="D10" s="12"/>
      <c r="E10" s="64"/>
      <c r="F10" s="8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152" t="s">
        <v>29</v>
      </c>
      <c r="B11" s="153" t="s">
        <v>535</v>
      </c>
      <c r="C11" s="11"/>
      <c r="D11" s="12"/>
      <c r="E11" s="64"/>
      <c r="F11" s="8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152" t="s">
        <v>536</v>
      </c>
      <c r="B12" s="154" t="s">
        <v>537</v>
      </c>
      <c r="C12" s="11"/>
      <c r="D12" s="12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152" t="s">
        <v>538</v>
      </c>
      <c r="B13" s="152" t="s">
        <v>539</v>
      </c>
      <c r="C13" s="152" t="s">
        <v>540</v>
      </c>
      <c r="D13" s="152" t="s">
        <v>541</v>
      </c>
      <c r="E13" s="64"/>
      <c r="F13" s="155" t="s">
        <v>542</v>
      </c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156">
        <v>45658.0</v>
      </c>
      <c r="B14" s="157" t="s">
        <v>543</v>
      </c>
      <c r="C14" s="158" t="s">
        <v>544</v>
      </c>
      <c r="D14" s="159">
        <v>4.0</v>
      </c>
      <c r="E14" s="64"/>
      <c r="F14" s="160" t="s">
        <v>545</v>
      </c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156">
        <v>45659.0</v>
      </c>
      <c r="B15" s="30"/>
      <c r="C15" s="158" t="s">
        <v>546</v>
      </c>
      <c r="D15" s="159">
        <v>10.0</v>
      </c>
      <c r="E15" s="64"/>
      <c r="F15" s="84" t="s">
        <v>547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156">
        <v>45660.0</v>
      </c>
      <c r="B16" s="30"/>
      <c r="C16" s="158" t="s">
        <v>548</v>
      </c>
      <c r="D16" s="159">
        <v>10.0</v>
      </c>
      <c r="E16" s="64"/>
      <c r="F16" s="147" t="s">
        <v>549</v>
      </c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156">
        <v>45661.0</v>
      </c>
      <c r="B17" s="23"/>
      <c r="C17" s="158" t="s">
        <v>550</v>
      </c>
      <c r="D17" s="159">
        <v>6.0</v>
      </c>
      <c r="E17" s="64"/>
      <c r="F17" s="84" t="s">
        <v>551</v>
      </c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156">
        <v>45689.0</v>
      </c>
      <c r="B18" s="157" t="s">
        <v>552</v>
      </c>
      <c r="C18" s="158" t="s">
        <v>553</v>
      </c>
      <c r="D18" s="159">
        <v>10.0</v>
      </c>
      <c r="E18" s="64"/>
      <c r="F18" s="84" t="s">
        <v>554</v>
      </c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156">
        <v>45690.0</v>
      </c>
      <c r="B19" s="30"/>
      <c r="C19" s="158" t="s">
        <v>555</v>
      </c>
      <c r="D19" s="159">
        <v>10.0</v>
      </c>
      <c r="E19" s="64"/>
      <c r="F19" s="84" t="s">
        <v>556</v>
      </c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156">
        <v>45691.0</v>
      </c>
      <c r="B20" s="30"/>
      <c r="C20" s="158" t="s">
        <v>557</v>
      </c>
      <c r="D20" s="159">
        <v>25.0</v>
      </c>
      <c r="E20" s="64"/>
      <c r="F20" s="8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156">
        <v>45692.0</v>
      </c>
      <c r="B21" s="23"/>
      <c r="C21" s="158" t="s">
        <v>558</v>
      </c>
      <c r="D21" s="159">
        <v>5.0</v>
      </c>
      <c r="E21" s="64"/>
      <c r="F21" s="160" t="s">
        <v>559</v>
      </c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156">
        <v>45717.0</v>
      </c>
      <c r="B22" s="157" t="s">
        <v>560</v>
      </c>
      <c r="C22" s="158" t="s">
        <v>561</v>
      </c>
      <c r="D22" s="159">
        <v>5.0</v>
      </c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156">
        <v>45718.0</v>
      </c>
      <c r="B23" s="30"/>
      <c r="C23" s="158" t="s">
        <v>562</v>
      </c>
      <c r="D23" s="159">
        <v>7.0</v>
      </c>
      <c r="E23" s="64"/>
      <c r="F23" s="161" t="s">
        <v>563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156">
        <v>45719.0</v>
      </c>
      <c r="B24" s="30"/>
      <c r="C24" s="158" t="s">
        <v>564</v>
      </c>
      <c r="D24" s="159">
        <v>4.0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156">
        <v>45720.0</v>
      </c>
      <c r="B25" s="30"/>
      <c r="C25" s="158" t="s">
        <v>565</v>
      </c>
      <c r="D25" s="159">
        <v>10.0</v>
      </c>
      <c r="E25" s="64"/>
      <c r="F25" s="162" t="s">
        <v>566</v>
      </c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156">
        <v>45721.0</v>
      </c>
      <c r="B26" s="30"/>
      <c r="C26" s="158" t="s">
        <v>567</v>
      </c>
      <c r="D26" s="159">
        <v>7.0</v>
      </c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156">
        <v>45722.0</v>
      </c>
      <c r="B27" s="30"/>
      <c r="C27" s="158" t="s">
        <v>568</v>
      </c>
      <c r="D27" s="159">
        <v>8.0</v>
      </c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156">
        <v>45723.0</v>
      </c>
      <c r="B28" s="30"/>
      <c r="C28" s="158" t="s">
        <v>569</v>
      </c>
      <c r="D28" s="159">
        <v>11.0</v>
      </c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163" t="s">
        <v>570</v>
      </c>
      <c r="B29" s="23"/>
      <c r="C29" s="158" t="s">
        <v>571</v>
      </c>
      <c r="D29" s="159">
        <v>5.0</v>
      </c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156">
        <v>45748.0</v>
      </c>
      <c r="B30" s="157" t="s">
        <v>572</v>
      </c>
      <c r="C30" s="84" t="s">
        <v>573</v>
      </c>
      <c r="D30" s="159">
        <v>45.0</v>
      </c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156">
        <v>45749.0</v>
      </c>
      <c r="B31" s="30"/>
      <c r="C31" s="158" t="s">
        <v>574</v>
      </c>
      <c r="D31" s="159">
        <v>45.0</v>
      </c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156">
        <v>45750.0</v>
      </c>
      <c r="B32" s="30"/>
      <c r="C32" s="158" t="s">
        <v>575</v>
      </c>
      <c r="D32" s="159">
        <v>24.0</v>
      </c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156">
        <v>45751.0</v>
      </c>
      <c r="B33" s="23"/>
      <c r="C33" s="158" t="s">
        <v>576</v>
      </c>
      <c r="D33" s="159">
        <v>6.0</v>
      </c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156">
        <v>45778.0</v>
      </c>
      <c r="B34" s="157" t="s">
        <v>577</v>
      </c>
      <c r="C34" s="164" t="s">
        <v>578</v>
      </c>
      <c r="D34" s="159">
        <v>15.0</v>
      </c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156">
        <v>45779.0</v>
      </c>
      <c r="B35" s="30"/>
      <c r="C35" s="84" t="s">
        <v>579</v>
      </c>
      <c r="D35" s="159">
        <v>15.0</v>
      </c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156">
        <v>45780.0</v>
      </c>
      <c r="B36" s="30"/>
      <c r="C36" s="158" t="s">
        <v>580</v>
      </c>
      <c r="D36" s="159">
        <v>40.0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156">
        <v>45781.0</v>
      </c>
      <c r="B37" s="30"/>
      <c r="C37" s="158" t="s">
        <v>581</v>
      </c>
      <c r="D37" s="159">
        <v>40.0</v>
      </c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156">
        <v>46147.0</v>
      </c>
      <c r="B38" s="30"/>
      <c r="C38" s="158" t="s">
        <v>582</v>
      </c>
      <c r="D38" s="159">
        <v>10.0</v>
      </c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156">
        <v>46148.0</v>
      </c>
      <c r="B39" s="23"/>
      <c r="C39" s="158" t="s">
        <v>583</v>
      </c>
      <c r="D39" s="159">
        <v>60.0</v>
      </c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156">
        <v>45809.0</v>
      </c>
      <c r="B40" s="157" t="s">
        <v>584</v>
      </c>
      <c r="C40" s="158" t="s">
        <v>585</v>
      </c>
      <c r="D40" s="159">
        <v>20.0</v>
      </c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156">
        <v>46175.0</v>
      </c>
      <c r="B41" s="30"/>
      <c r="C41" s="158" t="s">
        <v>586</v>
      </c>
      <c r="D41" s="159">
        <v>30.0</v>
      </c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156">
        <v>46176.0</v>
      </c>
      <c r="B42" s="30"/>
      <c r="C42" s="158" t="s">
        <v>587</v>
      </c>
      <c r="D42" s="159">
        <v>20.0</v>
      </c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156">
        <v>46177.0</v>
      </c>
      <c r="B43" s="30"/>
      <c r="C43" s="158" t="s">
        <v>588</v>
      </c>
      <c r="D43" s="159">
        <v>20.0</v>
      </c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156">
        <v>46178.0</v>
      </c>
      <c r="B44" s="30"/>
      <c r="C44" s="158" t="s">
        <v>589</v>
      </c>
      <c r="D44" s="159">
        <v>14.0</v>
      </c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156">
        <v>46179.0</v>
      </c>
      <c r="B45" s="30"/>
      <c r="C45" s="158" t="s">
        <v>590</v>
      </c>
      <c r="D45" s="159">
        <v>16.0</v>
      </c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156">
        <v>46180.0</v>
      </c>
      <c r="B46" s="23"/>
      <c r="C46" s="158" t="s">
        <v>591</v>
      </c>
      <c r="D46" s="159">
        <v>60.0</v>
      </c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156">
        <v>45839.0</v>
      </c>
      <c r="B47" s="157" t="s">
        <v>592</v>
      </c>
      <c r="C47" s="138" t="s">
        <v>593</v>
      </c>
      <c r="D47" s="159">
        <v>12.0</v>
      </c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156">
        <v>45840.0</v>
      </c>
      <c r="B48" s="30"/>
      <c r="C48" s="158" t="s">
        <v>594</v>
      </c>
      <c r="D48" s="159">
        <v>5.0</v>
      </c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156">
        <v>45841.0</v>
      </c>
      <c r="B49" s="30"/>
      <c r="C49" s="158" t="s">
        <v>595</v>
      </c>
      <c r="D49" s="159">
        <v>7.0</v>
      </c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156">
        <v>46207.0</v>
      </c>
      <c r="B50" s="23"/>
      <c r="C50" s="158" t="s">
        <v>596</v>
      </c>
      <c r="D50" s="159">
        <v>5.0</v>
      </c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156">
        <v>45870.0</v>
      </c>
      <c r="B51" s="157" t="s">
        <v>597</v>
      </c>
      <c r="C51" s="84" t="s">
        <v>598</v>
      </c>
      <c r="D51" s="159">
        <v>25.0</v>
      </c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156">
        <v>45871.0</v>
      </c>
      <c r="B52" s="30"/>
      <c r="C52" s="138" t="s">
        <v>599</v>
      </c>
      <c r="D52" s="159">
        <v>15.0</v>
      </c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156">
        <v>46237.0</v>
      </c>
      <c r="B53" s="30"/>
      <c r="C53" s="138" t="s">
        <v>600</v>
      </c>
      <c r="D53" s="159">
        <v>10.0</v>
      </c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156">
        <v>46238.0</v>
      </c>
      <c r="B54" s="23"/>
      <c r="C54" s="158" t="s">
        <v>601</v>
      </c>
      <c r="D54" s="159">
        <v>10.0</v>
      </c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156">
        <v>46266.0</v>
      </c>
      <c r="B55" s="157" t="s">
        <v>602</v>
      </c>
      <c r="C55" s="158" t="s">
        <v>603</v>
      </c>
      <c r="D55" s="159">
        <v>5.0</v>
      </c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156">
        <v>46267.0</v>
      </c>
      <c r="B56" s="30"/>
      <c r="C56" s="158" t="s">
        <v>604</v>
      </c>
      <c r="D56" s="159">
        <v>27.0</v>
      </c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156">
        <v>46268.0</v>
      </c>
      <c r="B57" s="30"/>
      <c r="C57" s="165" t="s">
        <v>605</v>
      </c>
      <c r="D57" s="159">
        <v>10.0</v>
      </c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156">
        <v>46269.0</v>
      </c>
      <c r="B58" s="30"/>
      <c r="C58" s="158" t="s">
        <v>606</v>
      </c>
      <c r="D58" s="159">
        <v>23.0</v>
      </c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156">
        <v>46270.0</v>
      </c>
      <c r="B59" s="30"/>
      <c r="C59" s="158" t="s">
        <v>607</v>
      </c>
      <c r="D59" s="159">
        <v>23.0</v>
      </c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156">
        <v>46271.0</v>
      </c>
      <c r="B60" s="30"/>
      <c r="C60" s="158" t="s">
        <v>608</v>
      </c>
      <c r="D60" s="159">
        <v>27.0</v>
      </c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156">
        <v>46272.0</v>
      </c>
      <c r="B61" s="30"/>
      <c r="C61" s="158" t="s">
        <v>609</v>
      </c>
      <c r="D61" s="159">
        <v>3.0</v>
      </c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156">
        <v>46273.0</v>
      </c>
      <c r="B62" s="30"/>
      <c r="C62" s="158" t="s">
        <v>610</v>
      </c>
      <c r="D62" s="159">
        <v>2.0</v>
      </c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156">
        <v>46274.0</v>
      </c>
      <c r="B63" s="23"/>
      <c r="C63" s="158" t="s">
        <v>611</v>
      </c>
      <c r="D63" s="159">
        <v>60.0</v>
      </c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156">
        <v>45931.0</v>
      </c>
      <c r="B64" s="157" t="s">
        <v>612</v>
      </c>
      <c r="C64" s="158" t="s">
        <v>613</v>
      </c>
      <c r="D64" s="159">
        <v>13.0</v>
      </c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156">
        <v>45932.0</v>
      </c>
      <c r="B65" s="30"/>
      <c r="C65" s="158" t="s">
        <v>614</v>
      </c>
      <c r="D65" s="159">
        <v>10.0</v>
      </c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156">
        <v>45933.0</v>
      </c>
      <c r="B66" s="23"/>
      <c r="C66" s="158" t="s">
        <v>615</v>
      </c>
      <c r="D66" s="159">
        <v>7.0</v>
      </c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64"/>
      <c r="C67" s="64"/>
      <c r="D67" s="64">
        <f>SUM(D14:D66)</f>
        <v>916</v>
      </c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64"/>
      <c r="C68" s="64"/>
      <c r="D68" s="166">
        <f>SUM(D67/60)</f>
        <v>15.26666667</v>
      </c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147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8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8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8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8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8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8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8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8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147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mergeCells count="22">
    <mergeCell ref="A1:D1"/>
    <mergeCell ref="B2:D2"/>
    <mergeCell ref="B3:D3"/>
    <mergeCell ref="B4:D4"/>
    <mergeCell ref="B5:D5"/>
    <mergeCell ref="B6:D6"/>
    <mergeCell ref="B7:D7"/>
    <mergeCell ref="B22:B29"/>
    <mergeCell ref="B30:B33"/>
    <mergeCell ref="B34:B39"/>
    <mergeCell ref="B40:B46"/>
    <mergeCell ref="B47:B50"/>
    <mergeCell ref="B51:B54"/>
    <mergeCell ref="B55:B63"/>
    <mergeCell ref="B64:B66"/>
    <mergeCell ref="B8:D8"/>
    <mergeCell ref="B9:D9"/>
    <mergeCell ref="B10:D10"/>
    <mergeCell ref="B11:D11"/>
    <mergeCell ref="B12:D12"/>
    <mergeCell ref="B14:B17"/>
    <mergeCell ref="B18:B21"/>
  </mergeCells>
  <drawing r:id="rId1"/>
</worksheet>
</file>