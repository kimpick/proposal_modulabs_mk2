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D1" sheetId="1" state="visible" r:id="rId1"/>
    <sheet xmlns:r="http://schemas.openxmlformats.org/officeDocument/2006/relationships" name="ND5" sheetId="2" state="visible" r:id="rId2"/>
    <sheet xmlns:r="http://schemas.openxmlformats.org/officeDocument/2006/relationships" name="ND2" sheetId="3" state="visible" r:id="rId3"/>
    <sheet xmlns:r="http://schemas.openxmlformats.org/officeDocument/2006/relationships" name="일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₩]#,##0"/>
  </numFmts>
  <fonts count="12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3"/>
    </font>
    <font/>
    <font>
      <name val="Arial"/>
      <b val="1"/>
      <color rgb="FFFF0000"/>
    </font>
    <font>
      <name val="Arial"/>
      <color theme="1"/>
    </font>
    <font>
      <name val="Arial"/>
      <b val="1"/>
      <color theme="1"/>
    </font>
    <font>
      <name val="Arial"/>
      <color rgb="FF0000FF"/>
    </font>
    <font>
      <name val="Arial"/>
      <color rgb="FFFFFFFF"/>
    </font>
    <font>
      <name val="Arial"/>
      <b val="1"/>
      <color theme="1"/>
      <scheme val="minor"/>
    </font>
    <font>
      <name val="&quot;Google Sans Text&quot;"/>
      <color rgb="FF1F1F1F"/>
    </font>
    <font>
      <name val="&quot;Google Sans Text&quot;"/>
      <b val="1"/>
      <color rgb="FF1F1F1F"/>
    </font>
  </fonts>
  <fills count="4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164" fontId="5" fillId="0" borderId="4" applyAlignment="1" pivotButton="0" quotePrefix="0" xfId="0">
      <alignment horizontal="right" vertical="center"/>
    </xf>
    <xf numFmtId="0" fontId="7" fillId="0" borderId="6" applyAlignment="1" pivotButton="0" quotePrefix="0" xfId="0">
      <alignment horizontal="right" vertical="center"/>
    </xf>
    <xf numFmtId="0" fontId="5" fillId="0" borderId="7" applyAlignment="1" pivotButton="0" quotePrefix="0" xfId="0">
      <alignment vertical="center"/>
    </xf>
    <xf numFmtId="164" fontId="5" fillId="0" borderId="4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3" fillId="0" borderId="8" pivotButton="0" quotePrefix="0" xfId="0"/>
    <xf numFmtId="164" fontId="5" fillId="0" borderId="4" applyAlignment="1" pivotButton="0" quotePrefix="0" xfId="0">
      <alignment vertical="center"/>
    </xf>
    <xf numFmtId="0" fontId="6" fillId="3" borderId="5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3" fillId="0" borderId="9" pivotButton="0" quotePrefix="0" xfId="0"/>
    <xf numFmtId="0" fontId="5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right" vertical="center"/>
    </xf>
    <xf numFmtId="0" fontId="7" fillId="0" borderId="6" applyAlignment="1" pivotButton="0" quotePrefix="0" xfId="0">
      <alignment horizontal="right" vertical="center"/>
    </xf>
    <xf numFmtId="0" fontId="5" fillId="0" borderId="7" applyAlignment="1" pivotButton="0" quotePrefix="0" xfId="0">
      <alignment vertical="center"/>
    </xf>
    <xf numFmtId="0" fontId="5" fillId="2" borderId="7" applyAlignment="1" pivotButton="0" quotePrefix="0" xfId="0">
      <alignment vertical="center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right" vertical="center"/>
    </xf>
    <xf numFmtId="0" fontId="1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0" fillId="0" borderId="0" pivotButton="0" quotePrefix="0" xfId="0"/>
    <xf numFmtId="0" fontId="2" fillId="0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26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35" min="1" max="1"/>
    <col width="17.75" customWidth="1" style="35" min="3" max="3"/>
    <col width="4.5" customWidth="1" style="35" min="6" max="6"/>
    <col width="4.5" customWidth="1" style="35" min="8" max="8"/>
    <col width="4.5" customWidth="1" style="35" min="10" max="10"/>
    <col width="43" customWidth="1" style="35" min="12" max="12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6" t="n"/>
      <c r="B2" s="36" t="inlineStr">
        <is>
          <t>원가 산출 내역</t>
        </is>
      </c>
      <c r="C2" s="37" t="n"/>
      <c r="D2" s="37" t="n"/>
      <c r="E2" s="38" t="n"/>
      <c r="F2" s="5" t="inlineStr">
        <is>
          <t xml:space="preserve">  * 파란색 숫자를 조정하여 원가를 산출해주세요</t>
        </is>
      </c>
      <c r="G2" s="6" t="n"/>
      <c r="H2" s="6" t="n"/>
      <c r="I2" s="6" t="n"/>
      <c r="J2" s="6" t="n"/>
      <c r="K2" s="7" t="n"/>
      <c r="L2" s="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6" t="n"/>
      <c r="C3" s="6" t="n"/>
      <c r="D3" s="7" t="n"/>
      <c r="E3" s="6" t="n"/>
      <c r="F3" s="6" t="n"/>
      <c r="G3" s="6" t="n"/>
      <c r="H3" s="6" t="n"/>
      <c r="I3" s="6" t="n"/>
      <c r="J3" s="6" t="n"/>
      <c r="K3" s="7" t="n"/>
      <c r="L3" s="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>
      <c r="A4" s="16" t="n"/>
      <c r="B4" s="8" t="inlineStr">
        <is>
          <t>▼ 직접비</t>
        </is>
      </c>
      <c r="C4" s="6" t="n"/>
      <c r="D4" s="7" t="n"/>
      <c r="E4" s="6" t="n"/>
      <c r="F4" s="6" t="n"/>
      <c r="G4" s="6" t="n"/>
      <c r="H4" s="6" t="n"/>
      <c r="I4" s="6" t="n"/>
      <c r="J4" s="6" t="n"/>
      <c r="K4" s="7" t="n"/>
      <c r="L4" s="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>
      <c r="A5" s="16" t="n"/>
      <c r="B5" s="9" t="inlineStr">
        <is>
          <t>비목</t>
        </is>
      </c>
      <c r="C5" s="9" t="inlineStr">
        <is>
          <t>세목</t>
        </is>
      </c>
      <c r="D5" s="9" t="inlineStr">
        <is>
          <t>단가</t>
        </is>
      </c>
      <c r="E5" s="9" t="inlineStr">
        <is>
          <t>수량</t>
        </is>
      </c>
      <c r="F5" s="9" t="inlineStr">
        <is>
          <t>단위</t>
        </is>
      </c>
      <c r="G5" s="9" t="inlineStr">
        <is>
          <t>수량</t>
        </is>
      </c>
      <c r="H5" s="9" t="inlineStr">
        <is>
          <t>단위</t>
        </is>
      </c>
      <c r="I5" s="9" t="inlineStr">
        <is>
          <t>수량</t>
        </is>
      </c>
      <c r="J5" s="9" t="inlineStr">
        <is>
          <t>단위</t>
        </is>
      </c>
      <c r="K5" s="9" t="inlineStr">
        <is>
          <t>합계</t>
        </is>
      </c>
      <c r="L5" s="9" t="inlineStr">
        <is>
          <t>비고</t>
        </is>
      </c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>
      <c r="A6" s="16" t="n"/>
      <c r="B6" s="39" t="inlineStr">
        <is>
          <t>외부 인건비</t>
        </is>
      </c>
      <c r="C6" s="20" t="inlineStr">
        <is>
          <t>주 강사비</t>
        </is>
      </c>
      <c r="D6" s="15" t="n">
        <v>300000</v>
      </c>
      <c r="E6" s="24" t="n">
        <v>4</v>
      </c>
      <c r="F6" s="25" t="inlineStr">
        <is>
          <t>명</t>
        </is>
      </c>
      <c r="G6" s="24" t="n">
        <v>15</v>
      </c>
      <c r="H6" s="25" t="inlineStr">
        <is>
          <t>시간</t>
        </is>
      </c>
      <c r="I6" s="24" t="n">
        <v>1</v>
      </c>
      <c r="J6" s="25" t="inlineStr">
        <is>
          <t>일</t>
        </is>
      </c>
      <c r="K6" s="15">
        <f>D6*E6*G6*I6</f>
        <v/>
      </c>
      <c r="L6" s="20" t="inlineStr">
        <is>
          <t>강사 등급 S급</t>
        </is>
      </c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>
      <c r="A7" s="16" t="n"/>
      <c r="B7" s="40" t="n"/>
      <c r="C7" s="20" t="inlineStr">
        <is>
          <t>보조 강사비</t>
        </is>
      </c>
      <c r="D7" s="15" t="n">
        <v>50000</v>
      </c>
      <c r="E7" s="24" t="n">
        <v>4</v>
      </c>
      <c r="F7" s="25" t="inlineStr">
        <is>
          <t>명</t>
        </is>
      </c>
      <c r="G7" s="24" t="n">
        <v>15</v>
      </c>
      <c r="H7" s="25" t="inlineStr">
        <is>
          <t>시간</t>
        </is>
      </c>
      <c r="I7" s="24" t="n">
        <v>1</v>
      </c>
      <c r="J7" s="25" t="inlineStr">
        <is>
          <t>일</t>
        </is>
      </c>
      <c r="K7" s="15">
        <f>D7*E7*G7*I7</f>
        <v/>
      </c>
      <c r="L7" s="20" t="inlineStr">
        <is>
          <t>3~10만원 사이 협의 필요</t>
        </is>
      </c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16" t="n"/>
      <c r="B8" s="6" t="n"/>
      <c r="C8" s="6" t="n"/>
      <c r="D8" s="7" t="n"/>
      <c r="E8" s="6" t="n"/>
      <c r="F8" s="6" t="n"/>
      <c r="G8" s="6" t="n"/>
      <c r="H8" s="6" t="n"/>
      <c r="I8" s="6" t="n"/>
      <c r="J8" s="6" t="n"/>
      <c r="K8" s="18" t="n"/>
      <c r="L8" s="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16" t="n"/>
      <c r="B9" s="39" t="inlineStr">
        <is>
          <t>외부 인건비
(실비)</t>
        </is>
      </c>
      <c r="C9" s="20" t="inlineStr">
        <is>
          <t>교통비</t>
        </is>
      </c>
      <c r="D9" s="15" t="n">
        <v>80000</v>
      </c>
      <c r="E9" s="24" t="n">
        <v>4</v>
      </c>
      <c r="F9" s="25" t="inlineStr">
        <is>
          <t>명</t>
        </is>
      </c>
      <c r="G9" s="24" t="n">
        <v>1</v>
      </c>
      <c r="H9" s="25" t="inlineStr">
        <is>
          <t>회</t>
        </is>
      </c>
      <c r="I9" s="24" t="n">
        <v>1</v>
      </c>
      <c r="J9" s="25" t="inlineStr">
        <is>
          <t>일</t>
        </is>
      </c>
      <c r="K9" s="15">
        <f>D9*E9*G9*I9</f>
        <v/>
      </c>
      <c r="L9" s="20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16" t="n"/>
      <c r="B10" s="41" t="n"/>
      <c r="C10" s="20" t="inlineStr">
        <is>
          <t>식비</t>
        </is>
      </c>
      <c r="D10" s="15" t="n">
        <v>30000</v>
      </c>
      <c r="E10" s="24" t="n">
        <v>4</v>
      </c>
      <c r="F10" s="25" t="inlineStr">
        <is>
          <t>명</t>
        </is>
      </c>
      <c r="G10" s="24" t="n">
        <v>1</v>
      </c>
      <c r="H10" s="25" t="inlineStr">
        <is>
          <t>회</t>
        </is>
      </c>
      <c r="I10" s="24" t="n">
        <v>4</v>
      </c>
      <c r="J10" s="25" t="inlineStr">
        <is>
          <t>일</t>
        </is>
      </c>
      <c r="K10" s="15">
        <f>D10*E10*G10*I10</f>
        <v/>
      </c>
      <c r="L10" s="20" t="inlineStr">
        <is>
          <t>10일치 (3식 기준) / 주말 식비 포함</t>
        </is>
      </c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16" t="n"/>
      <c r="B11" s="40" t="n"/>
      <c r="C11" s="20" t="inlineStr">
        <is>
          <t>숙박비</t>
        </is>
      </c>
      <c r="D11" s="15" t="n">
        <v>80000</v>
      </c>
      <c r="E11" s="24" t="n">
        <v>4</v>
      </c>
      <c r="F11" s="25" t="inlineStr">
        <is>
          <t>명</t>
        </is>
      </c>
      <c r="G11" s="23" t="n">
        <v>1</v>
      </c>
      <c r="H11" s="25" t="inlineStr">
        <is>
          <t>-</t>
        </is>
      </c>
      <c r="I11" s="24" t="n">
        <v>4</v>
      </c>
      <c r="J11" s="25" t="inlineStr">
        <is>
          <t>일</t>
        </is>
      </c>
      <c r="K11" s="15">
        <f>D11*E11*G11*I11</f>
        <v/>
      </c>
      <c r="L11" s="20" t="inlineStr">
        <is>
          <t>1박 8만 원 기준 / 9박 (7/5 입실 ~ 7/14 퇴실)</t>
        </is>
      </c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16" t="n"/>
      <c r="B12" s="6" t="n"/>
      <c r="C12" s="6" t="n"/>
      <c r="D12" s="7" t="n"/>
      <c r="E12" s="6" t="n"/>
      <c r="F12" s="6" t="n"/>
      <c r="G12" s="6" t="n"/>
      <c r="H12" s="6" t="n"/>
      <c r="I12" s="6" t="n"/>
      <c r="J12" s="6" t="n"/>
      <c r="K12" s="18" t="n"/>
      <c r="L12" s="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6" t="n"/>
      <c r="B13" s="39" t="inlineStr">
        <is>
          <t>운영비</t>
        </is>
      </c>
      <c r="C13" s="20" t="inlineStr">
        <is>
          <t>LMS CS 응대비</t>
        </is>
      </c>
      <c r="D13" s="15" t="n"/>
      <c r="E13" s="24" t="n">
        <v>0</v>
      </c>
      <c r="F13" s="25" t="inlineStr">
        <is>
          <t>명</t>
        </is>
      </c>
      <c r="G13" s="23" t="n">
        <v>1</v>
      </c>
      <c r="H13" s="25" t="inlineStr">
        <is>
          <t>-</t>
        </is>
      </c>
      <c r="I13" s="24" t="n">
        <v>0</v>
      </c>
      <c r="J13" s="25" t="inlineStr">
        <is>
          <t>일</t>
        </is>
      </c>
      <c r="K13" s="15">
        <f>D13*E13*G13*I13</f>
        <v/>
      </c>
      <c r="L13" s="20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6" t="n"/>
      <c r="B14" s="40" t="n"/>
      <c r="C14" s="20" t="inlineStr">
        <is>
          <t>기타 비품 대여</t>
        </is>
      </c>
      <c r="D14" s="15" t="n"/>
      <c r="E14" s="24" t="n">
        <v>0</v>
      </c>
      <c r="F14" s="25" t="inlineStr">
        <is>
          <t>명</t>
        </is>
      </c>
      <c r="G14" s="23" t="n">
        <v>1</v>
      </c>
      <c r="H14" s="25" t="inlineStr">
        <is>
          <t>-</t>
        </is>
      </c>
      <c r="I14" s="24" t="n">
        <v>0</v>
      </c>
      <c r="J14" s="25" t="inlineStr">
        <is>
          <t>일</t>
        </is>
      </c>
      <c r="K14" s="15">
        <f>D14*E14*G14*I14</f>
        <v/>
      </c>
      <c r="L14" s="20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16" t="n"/>
      <c r="B15" s="6" t="n"/>
      <c r="C15" s="6" t="n"/>
      <c r="D15" s="7" t="n"/>
      <c r="E15" s="6" t="n"/>
      <c r="F15" s="6" t="n"/>
      <c r="G15" s="6" t="n"/>
      <c r="H15" s="6" t="n"/>
      <c r="I15" s="6" t="n"/>
      <c r="J15" s="6" t="n"/>
      <c r="K15" s="18" t="n"/>
      <c r="L15" s="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16" t="n"/>
      <c r="B16" s="6" t="n"/>
      <c r="C16" s="6" t="n"/>
      <c r="D16" s="7" t="n"/>
      <c r="E16" s="6" t="n"/>
      <c r="F16" s="6" t="n"/>
      <c r="G16" s="6" t="n"/>
      <c r="H16" s="6" t="n"/>
      <c r="I16" s="6" t="n"/>
      <c r="J16" s="6" t="n"/>
      <c r="K16" s="18" t="n"/>
      <c r="L16" s="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16" t="n"/>
      <c r="B17" s="39" t="inlineStr">
        <is>
          <t>재료비</t>
        </is>
      </c>
      <c r="C17" s="20" t="inlineStr">
        <is>
          <t>AI 툴 사용료</t>
        </is>
      </c>
      <c r="D17" s="15" t="n">
        <v>40000</v>
      </c>
      <c r="E17" s="24" t="n">
        <v>30</v>
      </c>
      <c r="F17" s="25" t="inlineStr">
        <is>
          <t>명</t>
        </is>
      </c>
      <c r="G17" s="23" t="n">
        <v>1</v>
      </c>
      <c r="H17" s="25" t="inlineStr">
        <is>
          <t>-</t>
        </is>
      </c>
      <c r="I17" s="24" t="n">
        <v>1</v>
      </c>
      <c r="J17" s="25" t="inlineStr">
        <is>
          <t>개월</t>
        </is>
      </c>
      <c r="K17" s="15">
        <f>D17*E17*G17*I17</f>
        <v/>
      </c>
      <c r="L17" s="20" t="inlineStr">
        <is>
          <t>OpenAI, Claude 등 API 활용 크레딧 (인당 4만원)</t>
        </is>
      </c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16" t="n"/>
      <c r="B18" s="41" t="n"/>
      <c r="C18" s="20" t="inlineStr">
        <is>
          <t>클라우드 사용료</t>
        </is>
      </c>
      <c r="D18" s="15" t="n">
        <v>2500</v>
      </c>
      <c r="E18" s="24" t="n">
        <v>30</v>
      </c>
      <c r="F18" s="25" t="inlineStr">
        <is>
          <t>명</t>
        </is>
      </c>
      <c r="G18" s="23" t="n">
        <v>60</v>
      </c>
      <c r="H18" s="25" t="inlineStr">
        <is>
          <t>시간</t>
        </is>
      </c>
      <c r="I18" s="24" t="n">
        <v>1</v>
      </c>
      <c r="J18" s="25" t="inlineStr">
        <is>
          <t>개월</t>
        </is>
      </c>
      <c r="K18" s="15">
        <f>D18*E18*G18*I18</f>
        <v/>
      </c>
      <c r="L18" s="20" t="inlineStr">
        <is>
          <t>카카오 클라우드 고성능 GPU 및 보조 클러스터 (시간당 단가 환산치)</t>
        </is>
      </c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16" t="n"/>
      <c r="B19" s="41" t="n"/>
      <c r="C19" s="20" t="inlineStr">
        <is>
          <t>기타 구독료</t>
        </is>
      </c>
      <c r="D19" s="15" t="n">
        <v>30000</v>
      </c>
      <c r="E19" s="23" t="n">
        <v>30</v>
      </c>
      <c r="F19" s="25" t="inlineStr">
        <is>
          <t>-</t>
        </is>
      </c>
      <c r="G19" s="23" t="n">
        <v>2</v>
      </c>
      <c r="H19" s="25" t="inlineStr">
        <is>
          <t>-</t>
        </is>
      </c>
      <c r="I19" s="24" t="n">
        <v>1</v>
      </c>
      <c r="J19" s="25" t="inlineStr">
        <is>
          <t>개월</t>
        </is>
      </c>
      <c r="K19" s="15">
        <f>D19*E19*G19*I19</f>
        <v/>
      </c>
      <c r="L19" s="20" t="inlineStr">
        <is>
          <t>AI Augmented Coding (자동채점 등) 구독료</t>
        </is>
      </c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16" t="n"/>
      <c r="B20" s="41" t="n"/>
      <c r="C20" s="20" t="inlineStr">
        <is>
          <t>사무 용품 및 교구</t>
        </is>
      </c>
      <c r="D20" s="15" t="n">
        <v>0</v>
      </c>
      <c r="E20" s="24" t="n">
        <v>0</v>
      </c>
      <c r="F20" s="25" t="inlineStr">
        <is>
          <t>명</t>
        </is>
      </c>
      <c r="G20" s="24" t="n">
        <v>0</v>
      </c>
      <c r="H20" s="25" t="inlineStr">
        <is>
          <t>개</t>
        </is>
      </c>
      <c r="I20" s="24" t="n">
        <v>0</v>
      </c>
      <c r="J20" s="25" t="inlineStr">
        <is>
          <t>일</t>
        </is>
      </c>
      <c r="K20" s="15">
        <f>D20*E20*G20*I20</f>
        <v/>
      </c>
      <c r="L20" s="20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16" t="n"/>
      <c r="B21" s="41" t="n"/>
      <c r="C21" s="20" t="inlineStr">
        <is>
          <t>다과비</t>
        </is>
      </c>
      <c r="D21" s="15" t="n">
        <v>10000</v>
      </c>
      <c r="E21" s="24" t="n">
        <v>30</v>
      </c>
      <c r="F21" s="25" t="inlineStr">
        <is>
          <t>명</t>
        </is>
      </c>
      <c r="G21" s="23" t="n">
        <v>1</v>
      </c>
      <c r="H21" s="25" t="inlineStr">
        <is>
          <t>-</t>
        </is>
      </c>
      <c r="I21" s="24" t="n">
        <v>1</v>
      </c>
      <c r="J21" s="25" t="inlineStr">
        <is>
          <t>일</t>
        </is>
      </c>
      <c r="K21" s="15">
        <f>D21*E21*G21*I21</f>
        <v/>
      </c>
      <c r="L21" s="20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>
      <c r="A22" s="16" t="n"/>
      <c r="B22" s="41" t="n"/>
      <c r="C22" s="20" t="inlineStr">
        <is>
          <t>기타 판촉물</t>
        </is>
      </c>
      <c r="D22" s="15" t="n">
        <v>0</v>
      </c>
      <c r="E22" s="24" t="n"/>
      <c r="F22" s="25" t="inlineStr">
        <is>
          <t>명</t>
        </is>
      </c>
      <c r="G22" s="23" t="n"/>
      <c r="H22" s="25" t="inlineStr">
        <is>
          <t>-</t>
        </is>
      </c>
      <c r="I22" s="24" t="n"/>
      <c r="J22" s="25" t="inlineStr">
        <is>
          <t>일</t>
        </is>
      </c>
      <c r="K22" s="15" t="n"/>
      <c r="L22" s="20" t="inlineStr">
        <is>
          <t>참가자 기념품, 수료증, 상장 인쇄비 등</t>
        </is>
      </c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>
      <c r="A23" s="16" t="n"/>
      <c r="B23" s="41" t="n"/>
      <c r="C23" s="20" t="inlineStr">
        <is>
          <t>교재 및 교안</t>
        </is>
      </c>
      <c r="D23" s="15" t="n">
        <v>0</v>
      </c>
      <c r="E23" s="23" t="n">
        <v>1</v>
      </c>
      <c r="F23" s="25" t="inlineStr">
        <is>
          <t>-</t>
        </is>
      </c>
      <c r="G23" s="24" t="n">
        <v>0</v>
      </c>
      <c r="H23" s="25" t="inlineStr">
        <is>
          <t>개</t>
        </is>
      </c>
      <c r="I23" s="24" t="n">
        <v>0</v>
      </c>
      <c r="J23" s="25" t="inlineStr">
        <is>
          <t>부</t>
        </is>
      </c>
      <c r="K23" s="15">
        <f>D23*E23*G23*I23</f>
        <v/>
      </c>
      <c r="L23" s="20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>
      <c r="A24" s="16" t="n"/>
      <c r="B24" s="40" t="n"/>
      <c r="C24" s="20" t="inlineStr">
        <is>
          <t>기타 재료비</t>
        </is>
      </c>
      <c r="D24" s="15" t="n">
        <v>0</v>
      </c>
      <c r="E24" s="24" t="n">
        <v>0</v>
      </c>
      <c r="F24" s="25" t="inlineStr">
        <is>
          <t>명</t>
        </is>
      </c>
      <c r="G24" s="23" t="n">
        <v>1</v>
      </c>
      <c r="H24" s="25" t="inlineStr">
        <is>
          <t>-</t>
        </is>
      </c>
      <c r="I24" s="24" t="n">
        <v>0</v>
      </c>
      <c r="J24" s="25" t="inlineStr">
        <is>
          <t>개</t>
        </is>
      </c>
      <c r="K24" s="15">
        <f>D24*E24*G24*I24</f>
        <v/>
      </c>
      <c r="L24" s="20" t="inlineStr">
        <is>
          <t>참가자 상품, 상금 등</t>
        </is>
      </c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>
      <c r="A25" s="16" t="n"/>
      <c r="B25" s="6" t="n"/>
      <c r="C25" s="6" t="n"/>
      <c r="D25" s="7" t="n"/>
      <c r="E25" s="6" t="n"/>
      <c r="F25" s="6" t="n"/>
      <c r="G25" s="6" t="n"/>
      <c r="H25" s="6" t="n"/>
      <c r="I25" s="6" t="n"/>
      <c r="J25" s="6" t="n"/>
      <c r="K25" s="16" t="n"/>
      <c r="L25" s="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>
      <c r="A26" s="16" t="n"/>
      <c r="B26" s="6" t="n"/>
      <c r="C26" s="6" t="n"/>
      <c r="D26" s="7" t="n"/>
      <c r="E26" s="6" t="n"/>
      <c r="F26" s="6" t="n"/>
      <c r="G26" s="6" t="n"/>
      <c r="H26" s="6" t="n"/>
      <c r="I26" s="6" t="n"/>
      <c r="J26" s="6" t="n"/>
      <c r="K26" s="7" t="n"/>
      <c r="L26" s="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>
      <c r="A27" s="16" t="n"/>
      <c r="B27" s="6" t="n"/>
      <c r="C27" s="6" t="n"/>
      <c r="D27" s="7" t="n"/>
      <c r="E27" s="6" t="n"/>
      <c r="F27" s="6" t="n"/>
      <c r="G27" s="6" t="n"/>
      <c r="H27" s="6" t="n"/>
      <c r="I27" s="6" t="n"/>
      <c r="J27" s="6" t="n"/>
      <c r="K27" s="7" t="n"/>
      <c r="L27" s="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>
      <c r="A28" s="16" t="n"/>
      <c r="B28" s="8" t="inlineStr">
        <is>
          <t>▼ 간접비</t>
        </is>
      </c>
      <c r="C28" s="6" t="n"/>
      <c r="D28" s="7" t="n"/>
      <c r="E28" s="6" t="n"/>
      <c r="F28" s="6" t="n"/>
      <c r="G28" s="6" t="n"/>
      <c r="H28" s="6" t="n"/>
      <c r="I28" s="6" t="n"/>
      <c r="J28" s="6" t="n"/>
      <c r="K28" s="7" t="n"/>
      <c r="L28" s="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16" t="n"/>
      <c r="B29" s="9" t="inlineStr">
        <is>
          <t>비목</t>
        </is>
      </c>
      <c r="C29" s="9" t="inlineStr">
        <is>
          <t>세목</t>
        </is>
      </c>
      <c r="D29" s="9" t="inlineStr">
        <is>
          <t>단가</t>
        </is>
      </c>
      <c r="E29" s="9" t="inlineStr">
        <is>
          <t>인원</t>
        </is>
      </c>
      <c r="F29" s="26" t="n"/>
      <c r="G29" s="27" t="inlineStr">
        <is>
          <t>수량</t>
        </is>
      </c>
      <c r="H29" s="28" t="inlineStr">
        <is>
          <t>단위</t>
        </is>
      </c>
      <c r="I29" s="27" t="inlineStr">
        <is>
          <t>수량</t>
        </is>
      </c>
      <c r="J29" s="28" t="inlineStr">
        <is>
          <t>단위</t>
        </is>
      </c>
      <c r="K29" s="9" t="inlineStr">
        <is>
          <t>합계</t>
        </is>
      </c>
      <c r="L29" s="9" t="inlineStr">
        <is>
          <t>비고</t>
        </is>
      </c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>
      <c r="A30" s="16" t="n"/>
      <c r="B30" s="39" t="inlineStr">
        <is>
          <t>내부 인건비</t>
        </is>
      </c>
      <c r="C30" s="20" t="inlineStr">
        <is>
          <t>사업 총괄 인력</t>
        </is>
      </c>
      <c r="D30" s="15" t="n">
        <v>4000000</v>
      </c>
      <c r="E30" s="29" t="n">
        <v>1</v>
      </c>
      <c r="F30" s="25" t="inlineStr">
        <is>
          <t>명</t>
        </is>
      </c>
      <c r="G30" s="24" t="n">
        <v>2</v>
      </c>
      <c r="H30" s="25" t="inlineStr">
        <is>
          <t>개월</t>
        </is>
      </c>
      <c r="I30" s="24" t="n">
        <v>30</v>
      </c>
      <c r="J30" s="25" t="inlineStr">
        <is>
          <t>%</t>
        </is>
      </c>
      <c r="K30" s="15">
        <f>D30*E30*G30*I30/100</f>
        <v/>
      </c>
      <c r="L30" s="20" t="inlineStr">
        <is>
          <t>PM 1인 * 2개월(7월, 27년도 1월)</t>
        </is>
      </c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>
      <c r="A31" s="16" t="n"/>
      <c r="B31" s="41" t="n"/>
      <c r="C31" s="20" t="inlineStr">
        <is>
          <t>사업 운영 인력</t>
        </is>
      </c>
      <c r="D31" s="15" t="n">
        <v>3200000</v>
      </c>
      <c r="E31" s="29" t="n">
        <v>1</v>
      </c>
      <c r="F31" s="25" t="inlineStr">
        <is>
          <t>명</t>
        </is>
      </c>
      <c r="G31" s="24" t="n">
        <v>2</v>
      </c>
      <c r="H31" s="25" t="inlineStr">
        <is>
          <t>개월</t>
        </is>
      </c>
      <c r="I31" s="24" t="n">
        <v>30</v>
      </c>
      <c r="J31" s="25" t="inlineStr">
        <is>
          <t>%</t>
        </is>
      </c>
      <c r="K31" s="15">
        <f>D31*E31*G31*I31/100</f>
        <v/>
      </c>
      <c r="L31" s="20" t="inlineStr">
        <is>
          <t>실무진 1인 * 1개월</t>
        </is>
      </c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>
      <c r="A32" s="16" t="n"/>
      <c r="B32" s="40" t="n"/>
      <c r="C32" s="20" t="inlineStr">
        <is>
          <t>콘텐츠 개발 인력</t>
        </is>
      </c>
      <c r="D32" s="15" t="n">
        <v>5000000</v>
      </c>
      <c r="E32" s="29" t="n">
        <v>1</v>
      </c>
      <c r="F32" s="25" t="inlineStr">
        <is>
          <t>명</t>
        </is>
      </c>
      <c r="G32" s="24" t="n">
        <v>2</v>
      </c>
      <c r="H32" s="25" t="inlineStr">
        <is>
          <t>개월</t>
        </is>
      </c>
      <c r="I32" s="24" t="n">
        <v>30</v>
      </c>
      <c r="J32" s="25" t="inlineStr">
        <is>
          <t>%</t>
        </is>
      </c>
      <c r="K32" s="15">
        <f>D32*E32*G32*I32/100</f>
        <v/>
      </c>
      <c r="L32" s="20" t="inlineStr">
        <is>
          <t>교육 커리큘럼 및 컨텐츠 신규 개발 시</t>
        </is>
      </c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>
      <c r="A33" s="16" t="n"/>
      <c r="B33" s="6" t="n"/>
      <c r="C33" s="6" t="n"/>
      <c r="D33" s="18" t="n"/>
      <c r="E33" s="6" t="n"/>
      <c r="F33" s="6" t="n"/>
      <c r="G33" s="6" t="n"/>
      <c r="H33" s="6" t="n"/>
      <c r="I33" s="6" t="n"/>
      <c r="J33" s="6" t="n"/>
      <c r="K33" s="18" t="n"/>
      <c r="L33" s="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>
      <c r="A34" s="16" t="n"/>
      <c r="B34" s="39" t="inlineStr">
        <is>
          <t>내부 인건비
(실비)</t>
        </is>
      </c>
      <c r="C34" s="20" t="inlineStr">
        <is>
          <t>교통비</t>
        </is>
      </c>
      <c r="D34" s="15" t="n">
        <v>100000</v>
      </c>
      <c r="E34" s="29" t="n">
        <v>2</v>
      </c>
      <c r="F34" s="25" t="inlineStr">
        <is>
          <t>명</t>
        </is>
      </c>
      <c r="G34" s="24" t="n">
        <v>1</v>
      </c>
      <c r="H34" s="25" t="inlineStr">
        <is>
          <t>회</t>
        </is>
      </c>
      <c r="I34" s="24" t="n">
        <v>4</v>
      </c>
      <c r="J34" s="25" t="inlineStr">
        <is>
          <t>일</t>
        </is>
      </c>
      <c r="K34" s="15">
        <f>D34*E34*G34*I34</f>
        <v/>
      </c>
      <c r="L34" s="20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>
      <c r="A35" s="16" t="n"/>
      <c r="B35" s="40" t="n"/>
      <c r="C35" s="20" t="inlineStr">
        <is>
          <t>식비</t>
        </is>
      </c>
      <c r="D35" s="15" t="n">
        <v>30000</v>
      </c>
      <c r="E35" s="29" t="n">
        <v>2</v>
      </c>
      <c r="F35" s="25" t="inlineStr">
        <is>
          <t>명</t>
        </is>
      </c>
      <c r="G35" s="24" t="n">
        <v>1</v>
      </c>
      <c r="H35" s="25" t="inlineStr">
        <is>
          <t>회</t>
        </is>
      </c>
      <c r="I35" s="24" t="n">
        <v>4</v>
      </c>
      <c r="J35" s="25" t="inlineStr">
        <is>
          <t>일</t>
        </is>
      </c>
      <c r="K35" s="15">
        <f>D35*E35*G35*I35</f>
        <v/>
      </c>
      <c r="L35" s="20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>
      <c r="A36" s="16" t="n"/>
      <c r="B36" s="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>
      <c r="A37" s="16" t="n"/>
      <c r="B37" s="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</sheetData>
  <mergeCells count="7">
    <mergeCell ref="B17:B24"/>
    <mergeCell ref="B13:B14"/>
    <mergeCell ref="B30:B32"/>
    <mergeCell ref="B9:B11"/>
    <mergeCell ref="B2:E2"/>
    <mergeCell ref="B34:B35"/>
    <mergeCell ref="B6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25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35" min="1" max="1"/>
    <col width="17.75" customWidth="1" style="35" min="3" max="3"/>
    <col width="4.5" customWidth="1" style="35" min="6" max="6"/>
    <col width="4.5" customWidth="1" style="35" min="8" max="8"/>
    <col width="4.5" customWidth="1" style="35" min="10" max="10"/>
    <col width="43" customWidth="1" style="35" min="12" max="12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6" t="n"/>
      <c r="B2" s="36" t="inlineStr">
        <is>
          <t>원가 산출 내역</t>
        </is>
      </c>
      <c r="C2" s="37" t="n"/>
      <c r="D2" s="37" t="n"/>
      <c r="E2" s="38" t="n"/>
      <c r="F2" s="5" t="inlineStr">
        <is>
          <t xml:space="preserve">  * 파란색 숫자를 조정하여 원가를 산출해주세요</t>
        </is>
      </c>
      <c r="G2" s="6" t="n"/>
      <c r="H2" s="6" t="n"/>
      <c r="I2" s="6" t="n"/>
      <c r="J2" s="6" t="n"/>
      <c r="K2" s="7" t="n"/>
      <c r="L2" s="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B3" s="6" t="n"/>
      <c r="C3" s="6" t="n"/>
      <c r="D3" s="7" t="n"/>
      <c r="E3" s="6" t="n"/>
      <c r="F3" s="6" t="n"/>
      <c r="G3" s="6" t="n"/>
      <c r="H3" s="6" t="n"/>
      <c r="I3" s="6" t="n"/>
      <c r="J3" s="6" t="n"/>
      <c r="K3" s="7" t="n"/>
      <c r="L3" s="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>
      <c r="A4" s="16" t="n"/>
      <c r="B4" s="8" t="inlineStr">
        <is>
          <t>▼ 직접비</t>
        </is>
      </c>
      <c r="C4" s="6" t="n"/>
      <c r="D4" s="7" t="n"/>
      <c r="E4" s="6" t="n"/>
      <c r="F4" s="6" t="n"/>
      <c r="G4" s="6" t="n"/>
      <c r="H4" s="6" t="n"/>
      <c r="I4" s="6" t="n"/>
      <c r="J4" s="6" t="n"/>
      <c r="K4" s="7" t="n"/>
      <c r="L4" s="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>
      <c r="A5" s="16" t="n"/>
      <c r="B5" s="9" t="inlineStr">
        <is>
          <t>비목</t>
        </is>
      </c>
      <c r="C5" s="9" t="inlineStr">
        <is>
          <t>세목</t>
        </is>
      </c>
      <c r="D5" s="9" t="inlineStr">
        <is>
          <t>단가</t>
        </is>
      </c>
      <c r="E5" s="9" t="inlineStr">
        <is>
          <t>수량</t>
        </is>
      </c>
      <c r="F5" s="9" t="inlineStr">
        <is>
          <t>단위</t>
        </is>
      </c>
      <c r="G5" s="9" t="inlineStr">
        <is>
          <t>수량</t>
        </is>
      </c>
      <c r="H5" s="9" t="inlineStr">
        <is>
          <t>단위</t>
        </is>
      </c>
      <c r="I5" s="9" t="inlineStr">
        <is>
          <t>수량</t>
        </is>
      </c>
      <c r="J5" s="9" t="inlineStr">
        <is>
          <t>단위</t>
        </is>
      </c>
      <c r="K5" s="9" t="inlineStr">
        <is>
          <t>합계</t>
        </is>
      </c>
      <c r="L5" s="9" t="inlineStr">
        <is>
          <t>비고</t>
        </is>
      </c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>
      <c r="A6" s="16" t="n"/>
      <c r="B6" s="39" t="inlineStr">
        <is>
          <t>외부 인건비</t>
        </is>
      </c>
      <c r="C6" s="20" t="inlineStr">
        <is>
          <t>주 강사비</t>
        </is>
      </c>
      <c r="D6" s="15" t="n">
        <v>300000</v>
      </c>
      <c r="E6" s="24" t="n">
        <v>4</v>
      </c>
      <c r="F6" s="25" t="inlineStr">
        <is>
          <t>명</t>
        </is>
      </c>
      <c r="G6" s="24" t="n">
        <v>15</v>
      </c>
      <c r="H6" s="25" t="inlineStr">
        <is>
          <t>시간</t>
        </is>
      </c>
      <c r="I6" s="24" t="n">
        <v>1</v>
      </c>
      <c r="J6" s="25" t="inlineStr">
        <is>
          <t>일</t>
        </is>
      </c>
      <c r="K6" s="15">
        <f>D6*E6*G6*I6</f>
        <v/>
      </c>
      <c r="L6" s="20" t="inlineStr">
        <is>
          <t>강사 등급 S급</t>
        </is>
      </c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>
      <c r="A7" s="16" t="n"/>
      <c r="B7" s="40" t="n"/>
      <c r="C7" s="20" t="inlineStr">
        <is>
          <t>보조 강사비</t>
        </is>
      </c>
      <c r="D7" s="15" t="n">
        <v>50000</v>
      </c>
      <c r="E7" s="24" t="n">
        <v>4</v>
      </c>
      <c r="F7" s="25" t="inlineStr">
        <is>
          <t>명</t>
        </is>
      </c>
      <c r="G7" s="24" t="n">
        <v>15</v>
      </c>
      <c r="H7" s="25" t="inlineStr">
        <is>
          <t>시간</t>
        </is>
      </c>
      <c r="I7" s="24" t="n">
        <v>1</v>
      </c>
      <c r="J7" s="25" t="inlineStr">
        <is>
          <t>일</t>
        </is>
      </c>
      <c r="K7" s="15">
        <f>D7*E7*G7*I7</f>
        <v/>
      </c>
      <c r="L7" s="20" t="inlineStr">
        <is>
          <t>3~10만원 사이 협의 필요</t>
        </is>
      </c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16" t="n"/>
      <c r="B8" s="6" t="n"/>
      <c r="C8" s="6" t="n"/>
      <c r="D8" s="7" t="n"/>
      <c r="E8" s="6" t="n"/>
      <c r="F8" s="6" t="n"/>
      <c r="G8" s="6" t="n"/>
      <c r="H8" s="6" t="n"/>
      <c r="I8" s="6" t="n"/>
      <c r="J8" s="6" t="n"/>
      <c r="K8" s="18" t="n"/>
      <c r="L8" s="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16" t="n"/>
      <c r="B9" s="39" t="inlineStr">
        <is>
          <t>외부 인건비
(실비)</t>
        </is>
      </c>
      <c r="C9" s="20" t="inlineStr">
        <is>
          <t>교통비</t>
        </is>
      </c>
      <c r="D9" s="15" t="n">
        <v>80000</v>
      </c>
      <c r="E9" s="24" t="n">
        <v>4</v>
      </c>
      <c r="F9" s="25" t="inlineStr">
        <is>
          <t>명</t>
        </is>
      </c>
      <c r="G9" s="24" t="n">
        <v>1</v>
      </c>
      <c r="H9" s="25" t="inlineStr">
        <is>
          <t>회</t>
        </is>
      </c>
      <c r="I9" s="24" t="n">
        <v>1</v>
      </c>
      <c r="J9" s="25" t="inlineStr">
        <is>
          <t>일</t>
        </is>
      </c>
      <c r="K9" s="15">
        <f>D9*E9*G9*I9</f>
        <v/>
      </c>
      <c r="L9" s="20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16" t="n"/>
      <c r="B10" s="41" t="n"/>
      <c r="C10" s="20" t="inlineStr">
        <is>
          <t>식비</t>
        </is>
      </c>
      <c r="D10" s="15" t="n">
        <v>30000</v>
      </c>
      <c r="E10" s="24" t="n">
        <v>4</v>
      </c>
      <c r="F10" s="25" t="inlineStr">
        <is>
          <t>명</t>
        </is>
      </c>
      <c r="G10" s="24" t="n">
        <v>1</v>
      </c>
      <c r="H10" s="25" t="inlineStr">
        <is>
          <t>회</t>
        </is>
      </c>
      <c r="I10" s="24" t="n">
        <v>4</v>
      </c>
      <c r="J10" s="25" t="inlineStr">
        <is>
          <t>일</t>
        </is>
      </c>
      <c r="K10" s="15">
        <f>D10*E10*G10*I10</f>
        <v/>
      </c>
      <c r="L10" s="20" t="inlineStr">
        <is>
          <t>10일치 (3식 기준) / 주말 식비 포함</t>
        </is>
      </c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16" t="n"/>
      <c r="B11" s="40" t="n"/>
      <c r="C11" s="20" t="inlineStr">
        <is>
          <t>숙박비</t>
        </is>
      </c>
      <c r="D11" s="15" t="n">
        <v>80000</v>
      </c>
      <c r="E11" s="24" t="n">
        <v>4</v>
      </c>
      <c r="F11" s="25" t="inlineStr">
        <is>
          <t>명</t>
        </is>
      </c>
      <c r="G11" s="23" t="n">
        <v>1</v>
      </c>
      <c r="H11" s="25" t="inlineStr">
        <is>
          <t>-</t>
        </is>
      </c>
      <c r="I11" s="24" t="n">
        <v>4</v>
      </c>
      <c r="J11" s="25" t="inlineStr">
        <is>
          <t>일</t>
        </is>
      </c>
      <c r="K11" s="15">
        <f>D11*E11*G11*I11</f>
        <v/>
      </c>
      <c r="L11" s="20" t="inlineStr">
        <is>
          <t>1박 8만 원 기준 / 9박 (7/5 입실 ~ 7/14 퇴실)</t>
        </is>
      </c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16" t="n"/>
      <c r="B12" s="6" t="n"/>
      <c r="C12" s="6" t="n"/>
      <c r="D12" s="7" t="n"/>
      <c r="E12" s="6" t="n"/>
      <c r="F12" s="6" t="n"/>
      <c r="G12" s="6" t="n"/>
      <c r="H12" s="6" t="n"/>
      <c r="I12" s="6" t="n"/>
      <c r="J12" s="6" t="n"/>
      <c r="K12" s="18" t="n"/>
      <c r="L12" s="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6" t="n"/>
      <c r="B13" s="39" t="inlineStr">
        <is>
          <t>운영비</t>
        </is>
      </c>
      <c r="C13" s="20" t="inlineStr">
        <is>
          <t>LMS CS 응대비</t>
        </is>
      </c>
      <c r="D13" s="15" t="n"/>
      <c r="E13" s="24" t="n">
        <v>0</v>
      </c>
      <c r="F13" s="25" t="inlineStr">
        <is>
          <t>명</t>
        </is>
      </c>
      <c r="G13" s="23" t="n">
        <v>1</v>
      </c>
      <c r="H13" s="25" t="inlineStr">
        <is>
          <t>-</t>
        </is>
      </c>
      <c r="I13" s="24" t="n">
        <v>0</v>
      </c>
      <c r="J13" s="25" t="inlineStr">
        <is>
          <t>일</t>
        </is>
      </c>
      <c r="K13" s="15">
        <f>D13*E13*G13*I13</f>
        <v/>
      </c>
      <c r="L13" s="20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6" t="n"/>
      <c r="B14" s="40" t="n"/>
      <c r="C14" s="20" t="inlineStr">
        <is>
          <t>기타 비품 대여</t>
        </is>
      </c>
      <c r="D14" s="15" t="n"/>
      <c r="E14" s="24" t="n">
        <v>0</v>
      </c>
      <c r="F14" s="25" t="inlineStr">
        <is>
          <t>명</t>
        </is>
      </c>
      <c r="G14" s="23" t="n">
        <v>1</v>
      </c>
      <c r="H14" s="25" t="inlineStr">
        <is>
          <t>-</t>
        </is>
      </c>
      <c r="I14" s="24" t="n">
        <v>0</v>
      </c>
      <c r="J14" s="25" t="inlineStr">
        <is>
          <t>일</t>
        </is>
      </c>
      <c r="K14" s="15">
        <f>D14*E14*G14*I14</f>
        <v/>
      </c>
      <c r="L14" s="20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16" t="n"/>
      <c r="B15" s="6" t="n"/>
      <c r="C15" s="6" t="n"/>
      <c r="D15" s="7" t="n"/>
      <c r="E15" s="6" t="n"/>
      <c r="F15" s="6" t="n"/>
      <c r="G15" s="6" t="n"/>
      <c r="H15" s="6" t="n"/>
      <c r="I15" s="6" t="n"/>
      <c r="J15" s="6" t="n"/>
      <c r="K15" s="18" t="n"/>
      <c r="L15" s="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16" t="n"/>
      <c r="B16" s="6" t="n"/>
      <c r="C16" s="6" t="n"/>
      <c r="D16" s="7" t="n"/>
      <c r="E16" s="6" t="n"/>
      <c r="F16" s="6" t="n"/>
      <c r="G16" s="6" t="n"/>
      <c r="H16" s="6" t="n"/>
      <c r="I16" s="6" t="n"/>
      <c r="J16" s="6" t="n"/>
      <c r="K16" s="18" t="n"/>
      <c r="L16" s="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16" t="n"/>
      <c r="B17" s="39" t="inlineStr">
        <is>
          <t>재료비</t>
        </is>
      </c>
      <c r="C17" s="20" t="inlineStr">
        <is>
          <t>AI 툴 사용료</t>
        </is>
      </c>
      <c r="D17" s="15" t="n">
        <v>40000</v>
      </c>
      <c r="E17" s="24" t="n">
        <v>30</v>
      </c>
      <c r="F17" s="25" t="inlineStr">
        <is>
          <t>명</t>
        </is>
      </c>
      <c r="G17" s="23" t="n">
        <v>1</v>
      </c>
      <c r="H17" s="25" t="inlineStr">
        <is>
          <t>-</t>
        </is>
      </c>
      <c r="I17" s="24" t="n">
        <v>1</v>
      </c>
      <c r="J17" s="25" t="inlineStr">
        <is>
          <t>개월</t>
        </is>
      </c>
      <c r="K17" s="15">
        <f>D17*E17*G17*I17</f>
        <v/>
      </c>
      <c r="L17" s="20" t="inlineStr">
        <is>
          <t>OpenAI, Claude 등 API 활용 크레딧 (인당 4만원)</t>
        </is>
      </c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16" t="n"/>
      <c r="B18" s="41" t="n"/>
      <c r="C18" s="20" t="inlineStr">
        <is>
          <t>클라우드 사용료</t>
        </is>
      </c>
      <c r="D18" s="15" t="n">
        <v>2500</v>
      </c>
      <c r="E18" s="24" t="n">
        <v>30</v>
      </c>
      <c r="F18" s="25" t="inlineStr">
        <is>
          <t>명</t>
        </is>
      </c>
      <c r="G18" s="23" t="n">
        <v>60</v>
      </c>
      <c r="H18" s="25" t="inlineStr">
        <is>
          <t>시간</t>
        </is>
      </c>
      <c r="I18" s="24" t="n">
        <v>1</v>
      </c>
      <c r="J18" s="25" t="inlineStr">
        <is>
          <t>개월</t>
        </is>
      </c>
      <c r="K18" s="15">
        <f>D18*E18*G18*I18</f>
        <v/>
      </c>
      <c r="L18" s="20" t="inlineStr">
        <is>
          <t>카카오 클라우드 고성능 GPU 및 보조 클러스터 (시간당 단가 환산치)</t>
        </is>
      </c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16" t="n"/>
      <c r="B19" s="41" t="n"/>
      <c r="C19" s="20" t="inlineStr">
        <is>
          <t>기타 구독료</t>
        </is>
      </c>
      <c r="D19" s="15" t="n">
        <v>30000</v>
      </c>
      <c r="E19" s="23" t="n">
        <v>30</v>
      </c>
      <c r="F19" s="25" t="inlineStr">
        <is>
          <t>-</t>
        </is>
      </c>
      <c r="G19" s="23" t="n">
        <v>2</v>
      </c>
      <c r="H19" s="25" t="inlineStr">
        <is>
          <t>-</t>
        </is>
      </c>
      <c r="I19" s="24" t="n">
        <v>1</v>
      </c>
      <c r="J19" s="25" t="inlineStr">
        <is>
          <t>개월</t>
        </is>
      </c>
      <c r="K19" s="15">
        <f>D19*E19*G19*I19</f>
        <v/>
      </c>
      <c r="L19" s="20" t="inlineStr">
        <is>
          <t>AI Augmented Coding (자동채점 등) 구독료</t>
        </is>
      </c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16" t="n"/>
      <c r="B20" s="41" t="n"/>
      <c r="C20" s="20" t="inlineStr">
        <is>
          <t>사무 용품 및 교구</t>
        </is>
      </c>
      <c r="D20" s="15" t="n">
        <v>0</v>
      </c>
      <c r="E20" s="24" t="n">
        <v>0</v>
      </c>
      <c r="F20" s="25" t="inlineStr">
        <is>
          <t>명</t>
        </is>
      </c>
      <c r="G20" s="24" t="n">
        <v>0</v>
      </c>
      <c r="H20" s="25" t="inlineStr">
        <is>
          <t>개</t>
        </is>
      </c>
      <c r="I20" s="24" t="n">
        <v>0</v>
      </c>
      <c r="J20" s="25" t="inlineStr">
        <is>
          <t>일</t>
        </is>
      </c>
      <c r="K20" s="15">
        <f>D20*E20*G20*I20</f>
        <v/>
      </c>
      <c r="L20" s="20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16" t="n"/>
      <c r="B21" s="41" t="n"/>
      <c r="C21" s="20" t="inlineStr">
        <is>
          <t>다과비</t>
        </is>
      </c>
      <c r="D21" s="15" t="n">
        <v>10000</v>
      </c>
      <c r="E21" s="24" t="n">
        <v>30</v>
      </c>
      <c r="F21" s="25" t="inlineStr">
        <is>
          <t>명</t>
        </is>
      </c>
      <c r="G21" s="23" t="n">
        <v>1</v>
      </c>
      <c r="H21" s="25" t="inlineStr">
        <is>
          <t>-</t>
        </is>
      </c>
      <c r="I21" s="24" t="n">
        <v>1</v>
      </c>
      <c r="J21" s="25" t="inlineStr">
        <is>
          <t>일</t>
        </is>
      </c>
      <c r="K21" s="15">
        <f>D21*E21*G21*I21</f>
        <v/>
      </c>
      <c r="L21" s="20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>
      <c r="A22" s="16" t="n"/>
      <c r="B22" s="41" t="n"/>
      <c r="C22" s="20" t="inlineStr">
        <is>
          <t>기타 판촉물</t>
        </is>
      </c>
      <c r="D22" s="15" t="n">
        <v>0</v>
      </c>
      <c r="E22" s="24" t="n"/>
      <c r="F22" s="25" t="inlineStr">
        <is>
          <t>명</t>
        </is>
      </c>
      <c r="G22" s="23" t="n"/>
      <c r="H22" s="25" t="inlineStr">
        <is>
          <t>-</t>
        </is>
      </c>
      <c r="I22" s="24" t="n"/>
      <c r="J22" s="25" t="inlineStr">
        <is>
          <t>일</t>
        </is>
      </c>
      <c r="K22" s="15" t="n"/>
      <c r="L22" s="20" t="inlineStr">
        <is>
          <t>참가자 기념품, 수료증, 상장 인쇄비 등</t>
        </is>
      </c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>
      <c r="A23" s="16" t="n"/>
      <c r="B23" s="41" t="n"/>
      <c r="C23" s="20" t="inlineStr">
        <is>
          <t>교재 및 교안</t>
        </is>
      </c>
      <c r="D23" s="15" t="n">
        <v>0</v>
      </c>
      <c r="E23" s="23" t="n">
        <v>1</v>
      </c>
      <c r="F23" s="25" t="inlineStr">
        <is>
          <t>-</t>
        </is>
      </c>
      <c r="G23" s="24" t="n">
        <v>0</v>
      </c>
      <c r="H23" s="25" t="inlineStr">
        <is>
          <t>개</t>
        </is>
      </c>
      <c r="I23" s="24" t="n">
        <v>0</v>
      </c>
      <c r="J23" s="25" t="inlineStr">
        <is>
          <t>부</t>
        </is>
      </c>
      <c r="K23" s="15">
        <f>D23*E23*G23*I23</f>
        <v/>
      </c>
      <c r="L23" s="20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>
      <c r="A24" s="16" t="n"/>
      <c r="B24" s="40" t="n"/>
      <c r="C24" s="20" t="inlineStr">
        <is>
          <t>기타 재료비</t>
        </is>
      </c>
      <c r="D24" s="15" t="n">
        <v>0</v>
      </c>
      <c r="E24" s="24" t="n">
        <v>0</v>
      </c>
      <c r="F24" s="25" t="inlineStr">
        <is>
          <t>명</t>
        </is>
      </c>
      <c r="G24" s="23" t="n">
        <v>1</v>
      </c>
      <c r="H24" s="25" t="inlineStr">
        <is>
          <t>-</t>
        </is>
      </c>
      <c r="I24" s="24" t="n">
        <v>0</v>
      </c>
      <c r="J24" s="25" t="inlineStr">
        <is>
          <t>개</t>
        </is>
      </c>
      <c r="K24" s="15">
        <f>D24*E24*G24*I24</f>
        <v/>
      </c>
      <c r="L24" s="20" t="inlineStr">
        <is>
          <t>참가자 상품, 상금 등</t>
        </is>
      </c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>
      <c r="A25" s="16" t="n"/>
      <c r="B25" s="6" t="n"/>
      <c r="C25" s="6" t="n"/>
      <c r="D25" s="7" t="n"/>
      <c r="E25" s="6" t="n"/>
      <c r="F25" s="6" t="n"/>
      <c r="G25" s="6" t="n"/>
      <c r="H25" s="6" t="n"/>
      <c r="I25" s="6" t="n"/>
      <c r="J25" s="6" t="n"/>
      <c r="K25" s="16" t="n"/>
      <c r="L25" s="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>
      <c r="A26" s="16" t="n"/>
      <c r="B26" s="6" t="n"/>
      <c r="C26" s="6" t="n"/>
      <c r="D26" s="7" t="n"/>
      <c r="E26" s="6" t="n"/>
      <c r="F26" s="6" t="n"/>
      <c r="G26" s="6" t="n"/>
      <c r="H26" s="6" t="n"/>
      <c r="I26" s="6" t="n"/>
      <c r="J26" s="6" t="n"/>
      <c r="K26" s="7" t="n"/>
      <c r="L26" s="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>
      <c r="A27" s="16" t="n"/>
      <c r="B27" s="6" t="n"/>
      <c r="C27" s="6" t="n"/>
      <c r="D27" s="7" t="n"/>
      <c r="E27" s="6" t="n"/>
      <c r="F27" s="6" t="n"/>
      <c r="G27" s="6" t="n"/>
      <c r="H27" s="6" t="n"/>
      <c r="I27" s="6" t="n"/>
      <c r="J27" s="6" t="n"/>
      <c r="K27" s="7" t="n"/>
      <c r="L27" s="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>
      <c r="A28" s="16" t="n"/>
      <c r="B28" s="8" t="inlineStr">
        <is>
          <t>▼ 간접비</t>
        </is>
      </c>
      <c r="C28" s="6" t="n"/>
      <c r="D28" s="7" t="n"/>
      <c r="E28" s="6" t="n"/>
      <c r="F28" s="6" t="n"/>
      <c r="G28" s="6" t="n"/>
      <c r="H28" s="6" t="n"/>
      <c r="I28" s="6" t="n"/>
      <c r="J28" s="6" t="n"/>
      <c r="K28" s="7" t="n"/>
      <c r="L28" s="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16" t="n"/>
      <c r="B29" s="9" t="inlineStr">
        <is>
          <t>비목</t>
        </is>
      </c>
      <c r="C29" s="9" t="inlineStr">
        <is>
          <t>세목</t>
        </is>
      </c>
      <c r="D29" s="9" t="inlineStr">
        <is>
          <t>단가</t>
        </is>
      </c>
      <c r="E29" s="9" t="inlineStr">
        <is>
          <t>인원</t>
        </is>
      </c>
      <c r="F29" s="26" t="n"/>
      <c r="G29" s="27" t="inlineStr">
        <is>
          <t>수량</t>
        </is>
      </c>
      <c r="H29" s="28" t="inlineStr">
        <is>
          <t>단위</t>
        </is>
      </c>
      <c r="I29" s="27" t="inlineStr">
        <is>
          <t>수량</t>
        </is>
      </c>
      <c r="J29" s="28" t="inlineStr">
        <is>
          <t>단위</t>
        </is>
      </c>
      <c r="K29" s="9" t="inlineStr">
        <is>
          <t>합계</t>
        </is>
      </c>
      <c r="L29" s="9" t="inlineStr">
        <is>
          <t>비고</t>
        </is>
      </c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>
      <c r="A30" s="16" t="n"/>
      <c r="B30" s="39" t="inlineStr">
        <is>
          <t>내부 인건비</t>
        </is>
      </c>
      <c r="C30" s="20" t="inlineStr">
        <is>
          <t>사업 총괄 인력</t>
        </is>
      </c>
      <c r="D30" s="15" t="n">
        <v>4000000</v>
      </c>
      <c r="E30" s="29" t="n">
        <v>1</v>
      </c>
      <c r="F30" s="25" t="inlineStr">
        <is>
          <t>명</t>
        </is>
      </c>
      <c r="G30" s="24" t="n">
        <v>2</v>
      </c>
      <c r="H30" s="25" t="inlineStr">
        <is>
          <t>개월</t>
        </is>
      </c>
      <c r="I30" s="24" t="n">
        <v>30</v>
      </c>
      <c r="J30" s="25" t="inlineStr">
        <is>
          <t>%</t>
        </is>
      </c>
      <c r="K30" s="15">
        <f>D30*E30*G30*I30/100</f>
        <v/>
      </c>
      <c r="L30" s="20" t="inlineStr">
        <is>
          <t>PM 1인 * 2개월(7월, 27년도 1월)</t>
        </is>
      </c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>
      <c r="A31" s="16" t="n"/>
      <c r="B31" s="41" t="n"/>
      <c r="C31" s="20" t="inlineStr">
        <is>
          <t>사업 운영 인력</t>
        </is>
      </c>
      <c r="D31" s="15" t="n">
        <v>3200000</v>
      </c>
      <c r="E31" s="29" t="n">
        <v>1</v>
      </c>
      <c r="F31" s="25" t="inlineStr">
        <is>
          <t>명</t>
        </is>
      </c>
      <c r="G31" s="24" t="n">
        <v>2</v>
      </c>
      <c r="H31" s="25" t="inlineStr">
        <is>
          <t>개월</t>
        </is>
      </c>
      <c r="I31" s="24" t="n">
        <v>30</v>
      </c>
      <c r="J31" s="25" t="inlineStr">
        <is>
          <t>%</t>
        </is>
      </c>
      <c r="K31" s="15">
        <f>D31*E31*G31*I31/100</f>
        <v/>
      </c>
      <c r="L31" s="20" t="inlineStr">
        <is>
          <t>실무진 1인 * 1개월</t>
        </is>
      </c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>
      <c r="A32" s="16" t="n"/>
      <c r="B32" s="40" t="n"/>
      <c r="C32" s="20" t="inlineStr">
        <is>
          <t>콘텐츠 개발 인력</t>
        </is>
      </c>
      <c r="D32" s="15" t="n">
        <v>5000000</v>
      </c>
      <c r="E32" s="29" t="n">
        <v>1</v>
      </c>
      <c r="F32" s="25" t="inlineStr">
        <is>
          <t>명</t>
        </is>
      </c>
      <c r="G32" s="24" t="n">
        <v>2</v>
      </c>
      <c r="H32" s="25" t="inlineStr">
        <is>
          <t>개월</t>
        </is>
      </c>
      <c r="I32" s="24" t="n">
        <v>30</v>
      </c>
      <c r="J32" s="25" t="inlineStr">
        <is>
          <t>%</t>
        </is>
      </c>
      <c r="K32" s="15">
        <f>D32*E32*G32*I32/100</f>
        <v/>
      </c>
      <c r="L32" s="20" t="inlineStr">
        <is>
          <t>교육 커리큘럼 및 컨텐츠 신규 개발 시</t>
        </is>
      </c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>
      <c r="A33" s="16" t="n"/>
      <c r="B33" s="6" t="n"/>
      <c r="C33" s="6" t="n"/>
      <c r="D33" s="18" t="n"/>
      <c r="E33" s="6" t="n"/>
      <c r="F33" s="6" t="n"/>
      <c r="G33" s="6" t="n"/>
      <c r="H33" s="6" t="n"/>
      <c r="I33" s="6" t="n"/>
      <c r="J33" s="6" t="n"/>
      <c r="K33" s="18" t="n"/>
      <c r="L33" s="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>
      <c r="A34" s="16" t="n"/>
      <c r="B34" s="39" t="inlineStr">
        <is>
          <t>내부 인건비
(실비)</t>
        </is>
      </c>
      <c r="C34" s="20" t="inlineStr">
        <is>
          <t>교통비</t>
        </is>
      </c>
      <c r="D34" s="15" t="n">
        <v>100000</v>
      </c>
      <c r="E34" s="29" t="n">
        <v>2</v>
      </c>
      <c r="F34" s="25" t="inlineStr">
        <is>
          <t>명</t>
        </is>
      </c>
      <c r="G34" s="24" t="n">
        <v>1</v>
      </c>
      <c r="H34" s="25" t="inlineStr">
        <is>
          <t>회</t>
        </is>
      </c>
      <c r="I34" s="24" t="n">
        <v>4</v>
      </c>
      <c r="J34" s="25" t="inlineStr">
        <is>
          <t>일</t>
        </is>
      </c>
      <c r="K34" s="15">
        <f>D34*E34*G34*I34</f>
        <v/>
      </c>
      <c r="L34" s="20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>
      <c r="A35" s="16" t="n"/>
      <c r="B35" s="40" t="n"/>
      <c r="C35" s="20" t="inlineStr">
        <is>
          <t>식비</t>
        </is>
      </c>
      <c r="D35" s="15" t="n">
        <v>30000</v>
      </c>
      <c r="E35" s="29" t="n">
        <v>2</v>
      </c>
      <c r="F35" s="25" t="inlineStr">
        <is>
          <t>명</t>
        </is>
      </c>
      <c r="G35" s="24" t="n">
        <v>1</v>
      </c>
      <c r="H35" s="25" t="inlineStr">
        <is>
          <t>회</t>
        </is>
      </c>
      <c r="I35" s="24" t="n">
        <v>4</v>
      </c>
      <c r="J35" s="25" t="inlineStr">
        <is>
          <t>일</t>
        </is>
      </c>
      <c r="K35" s="15">
        <f>D35*E35*G35*I35</f>
        <v/>
      </c>
      <c r="L35" s="20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>
      <c r="A36" s="16" t="n"/>
      <c r="B36" s="6" t="n"/>
      <c r="C36" s="6" t="n"/>
      <c r="D36" s="18" t="n"/>
      <c r="E36" s="6" t="n"/>
      <c r="F36" s="6" t="n"/>
      <c r="G36" s="6" t="n"/>
      <c r="H36" s="6" t="n"/>
      <c r="I36" s="6" t="n"/>
      <c r="J36" s="6" t="n"/>
      <c r="K36" s="18" t="n"/>
      <c r="L36" s="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</sheetData>
  <mergeCells count="7">
    <mergeCell ref="B17:B24"/>
    <mergeCell ref="B13:B14"/>
    <mergeCell ref="B30:B32"/>
    <mergeCell ref="B9:B11"/>
    <mergeCell ref="B2:E2"/>
    <mergeCell ref="B34:B35"/>
    <mergeCell ref="B6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</row>
    <row r="2">
      <c r="A2" s="36" t="inlineStr">
        <is>
          <t>원가 산출 내역</t>
        </is>
      </c>
      <c r="B2" s="37" t="n"/>
      <c r="C2" s="37" t="n"/>
      <c r="D2" s="38" t="n"/>
      <c r="E2" s="5" t="inlineStr">
        <is>
          <t xml:space="preserve">  * 파란색 숫자를 조정하여 원가를 산출해주세요</t>
        </is>
      </c>
      <c r="F2" s="6" t="n"/>
      <c r="G2" s="6" t="n"/>
      <c r="H2" s="6" t="n"/>
      <c r="I2" s="6" t="n"/>
      <c r="J2" s="7" t="n"/>
      <c r="K2" s="6" t="n"/>
    </row>
    <row r="3">
      <c r="A3" s="6" t="n"/>
      <c r="B3" s="6" t="n"/>
      <c r="C3" s="7" t="n"/>
      <c r="D3" s="6" t="n"/>
      <c r="E3" s="6" t="n"/>
      <c r="F3" s="6" t="n"/>
      <c r="G3" s="6" t="n"/>
      <c r="H3" s="6" t="n"/>
      <c r="I3" s="6" t="n"/>
      <c r="J3" s="7" t="n"/>
      <c r="K3" s="6" t="n"/>
    </row>
    <row r="4">
      <c r="A4" s="8" t="inlineStr">
        <is>
          <t>▼ 직접비</t>
        </is>
      </c>
      <c r="B4" s="6" t="n"/>
      <c r="C4" s="7" t="n"/>
      <c r="D4" s="6" t="n"/>
      <c r="E4" s="6" t="n"/>
      <c r="F4" s="6" t="n"/>
      <c r="G4" s="6" t="n"/>
      <c r="H4" s="6" t="n"/>
      <c r="I4" s="6" t="n"/>
      <c r="J4" s="7" t="n"/>
      <c r="K4" s="6" t="n"/>
    </row>
    <row r="5">
      <c r="A5" s="9" t="inlineStr">
        <is>
          <t>비목</t>
        </is>
      </c>
      <c r="B5" s="9" t="inlineStr">
        <is>
          <t>세목</t>
        </is>
      </c>
      <c r="C5" s="9" t="inlineStr">
        <is>
          <t>단가</t>
        </is>
      </c>
      <c r="D5" s="9" t="inlineStr">
        <is>
          <t>수량</t>
        </is>
      </c>
      <c r="E5" s="9" t="inlineStr">
        <is>
          <t>단위</t>
        </is>
      </c>
      <c r="F5" s="9" t="inlineStr">
        <is>
          <t>수량</t>
        </is>
      </c>
      <c r="G5" s="9" t="inlineStr">
        <is>
          <t>단위</t>
        </is>
      </c>
      <c r="H5" s="9" t="inlineStr">
        <is>
          <t>수량</t>
        </is>
      </c>
      <c r="I5" s="9" t="inlineStr">
        <is>
          <t>단위</t>
        </is>
      </c>
      <c r="J5" s="9" t="inlineStr">
        <is>
          <t>합계</t>
        </is>
      </c>
      <c r="K5" s="9" t="inlineStr">
        <is>
          <t>비고</t>
        </is>
      </c>
    </row>
    <row r="6">
      <c r="A6" s="39" t="inlineStr">
        <is>
          <t>외부 인건비</t>
        </is>
      </c>
      <c r="B6" s="20" t="inlineStr">
        <is>
          <t>주 강사비</t>
        </is>
      </c>
      <c r="C6" s="15" t="n">
        <v>300000</v>
      </c>
      <c r="D6" s="24" t="n">
        <v>4</v>
      </c>
      <c r="E6" s="25" t="inlineStr">
        <is>
          <t>명</t>
        </is>
      </c>
      <c r="F6" s="24" t="n">
        <v>15</v>
      </c>
      <c r="G6" s="25" t="inlineStr">
        <is>
          <t>시간</t>
        </is>
      </c>
      <c r="H6" s="24" t="n">
        <v>1</v>
      </c>
      <c r="I6" s="25" t="inlineStr">
        <is>
          <t>일</t>
        </is>
      </c>
      <c r="J6" s="15">
        <f>C6*D6*F6*H6</f>
        <v/>
      </c>
      <c r="K6" s="20" t="inlineStr">
        <is>
          <t>강사 등급 S급</t>
        </is>
      </c>
    </row>
    <row r="7">
      <c r="A7" s="40" t="n"/>
      <c r="B7" s="20" t="inlineStr">
        <is>
          <t>보조 강사비</t>
        </is>
      </c>
      <c r="C7" s="15" t="n">
        <v>50000</v>
      </c>
      <c r="D7" s="24" t="n">
        <v>4</v>
      </c>
      <c r="E7" s="25" t="inlineStr">
        <is>
          <t>명</t>
        </is>
      </c>
      <c r="F7" s="24" t="n">
        <v>15</v>
      </c>
      <c r="G7" s="25" t="inlineStr">
        <is>
          <t>시간</t>
        </is>
      </c>
      <c r="H7" s="24" t="n">
        <v>1</v>
      </c>
      <c r="I7" s="25" t="inlineStr">
        <is>
          <t>일</t>
        </is>
      </c>
      <c r="J7" s="15">
        <f>C7*D7*F7*H7</f>
        <v/>
      </c>
      <c r="K7" s="20" t="inlineStr">
        <is>
          <t>3~10만원 사이 협의 필요</t>
        </is>
      </c>
    </row>
    <row r="8">
      <c r="A8" s="6" t="n"/>
      <c r="B8" s="6" t="n"/>
      <c r="C8" s="7" t="n"/>
      <c r="D8" s="6" t="n"/>
      <c r="E8" s="6" t="n"/>
      <c r="F8" s="6" t="n"/>
      <c r="G8" s="6" t="n"/>
      <c r="H8" s="6" t="n"/>
      <c r="I8" s="6" t="n"/>
      <c r="J8" s="18" t="n"/>
      <c r="K8" s="6" t="n"/>
    </row>
    <row r="9">
      <c r="A9" s="39" t="inlineStr">
        <is>
          <t>외부 인건비
(실비)</t>
        </is>
      </c>
      <c r="B9" s="20" t="inlineStr">
        <is>
          <t>교통비</t>
        </is>
      </c>
      <c r="C9" s="15" t="n">
        <v>80000</v>
      </c>
      <c r="D9" s="24" t="n">
        <v>4</v>
      </c>
      <c r="E9" s="25" t="inlineStr">
        <is>
          <t>명</t>
        </is>
      </c>
      <c r="F9" s="24" t="n">
        <v>1</v>
      </c>
      <c r="G9" s="25" t="inlineStr">
        <is>
          <t>회</t>
        </is>
      </c>
      <c r="H9" s="24" t="n">
        <v>1</v>
      </c>
      <c r="I9" s="25" t="inlineStr">
        <is>
          <t>일</t>
        </is>
      </c>
      <c r="J9" s="15">
        <f>C9*D9*F9*H9</f>
        <v/>
      </c>
      <c r="K9" s="20" t="n"/>
    </row>
    <row r="10">
      <c r="A10" s="41" t="n"/>
      <c r="B10" s="20" t="inlineStr">
        <is>
          <t>식비</t>
        </is>
      </c>
      <c r="C10" s="15" t="n">
        <v>30000</v>
      </c>
      <c r="D10" s="24" t="n">
        <v>4</v>
      </c>
      <c r="E10" s="25" t="inlineStr">
        <is>
          <t>명</t>
        </is>
      </c>
      <c r="F10" s="24" t="n">
        <v>1</v>
      </c>
      <c r="G10" s="25" t="inlineStr">
        <is>
          <t>회</t>
        </is>
      </c>
      <c r="H10" s="24" t="n">
        <v>4</v>
      </c>
      <c r="I10" s="25" t="inlineStr">
        <is>
          <t>일</t>
        </is>
      </c>
      <c r="J10" s="15">
        <f>C10*D10*F10*H10</f>
        <v/>
      </c>
      <c r="K10" s="20" t="inlineStr">
        <is>
          <t>10일치 (3식 기준) / 주말 식비 포함</t>
        </is>
      </c>
    </row>
    <row r="11">
      <c r="A11" s="40" t="n"/>
      <c r="B11" s="20" t="inlineStr">
        <is>
          <t>숙박비</t>
        </is>
      </c>
      <c r="C11" s="15" t="n">
        <v>80000</v>
      </c>
      <c r="D11" s="24" t="n">
        <v>4</v>
      </c>
      <c r="E11" s="25" t="inlineStr">
        <is>
          <t>명</t>
        </is>
      </c>
      <c r="F11" s="23" t="n">
        <v>1</v>
      </c>
      <c r="G11" s="25" t="inlineStr">
        <is>
          <t>-</t>
        </is>
      </c>
      <c r="H11" s="24" t="n">
        <v>4</v>
      </c>
      <c r="I11" s="25" t="inlineStr">
        <is>
          <t>일</t>
        </is>
      </c>
      <c r="J11" s="15">
        <f>C11*D11*F11*H11</f>
        <v/>
      </c>
      <c r="K11" s="20" t="inlineStr">
        <is>
          <t>1박 8만 원 기준 / 9박 (7/5 입실 ~ 7/14 퇴실)</t>
        </is>
      </c>
    </row>
    <row r="12">
      <c r="A12" s="6" t="n"/>
      <c r="B12" s="6" t="n"/>
      <c r="C12" s="7" t="n"/>
      <c r="D12" s="6" t="n"/>
      <c r="E12" s="6" t="n"/>
      <c r="F12" s="6" t="n"/>
      <c r="G12" s="6" t="n"/>
      <c r="H12" s="6" t="n"/>
      <c r="I12" s="6" t="n"/>
      <c r="J12" s="18" t="n"/>
      <c r="K12" s="6" t="n"/>
    </row>
    <row r="13">
      <c r="A13" s="39" t="inlineStr">
        <is>
          <t>운영비</t>
        </is>
      </c>
      <c r="B13" s="20" t="inlineStr">
        <is>
          <t>LMS CS 응대비</t>
        </is>
      </c>
      <c r="C13" s="15" t="n"/>
      <c r="D13" s="24" t="n">
        <v>0</v>
      </c>
      <c r="E13" s="25" t="inlineStr">
        <is>
          <t>명</t>
        </is>
      </c>
      <c r="F13" s="23" t="n">
        <v>1</v>
      </c>
      <c r="G13" s="25" t="inlineStr">
        <is>
          <t>-</t>
        </is>
      </c>
      <c r="H13" s="24" t="n">
        <v>0</v>
      </c>
      <c r="I13" s="25" t="inlineStr">
        <is>
          <t>일</t>
        </is>
      </c>
      <c r="J13" s="15">
        <f>C13*D13*F13*H13</f>
        <v/>
      </c>
      <c r="K13" s="20" t="n"/>
    </row>
    <row r="14">
      <c r="A14" s="40" t="n"/>
      <c r="B14" s="20" t="inlineStr">
        <is>
          <t>기타 비품 대여</t>
        </is>
      </c>
      <c r="C14" s="15" t="n"/>
      <c r="D14" s="24" t="n">
        <v>0</v>
      </c>
      <c r="E14" s="25" t="inlineStr">
        <is>
          <t>명</t>
        </is>
      </c>
      <c r="F14" s="23" t="n">
        <v>1</v>
      </c>
      <c r="G14" s="25" t="inlineStr">
        <is>
          <t>-</t>
        </is>
      </c>
      <c r="H14" s="24" t="n">
        <v>0</v>
      </c>
      <c r="I14" s="25" t="inlineStr">
        <is>
          <t>일</t>
        </is>
      </c>
      <c r="J14" s="15">
        <f>C14*D14*F14*H14</f>
        <v/>
      </c>
      <c r="K14" s="20" t="n"/>
    </row>
    <row r="15">
      <c r="A15" s="6" t="n"/>
      <c r="B15" s="6" t="n"/>
      <c r="C15" s="7" t="n"/>
      <c r="D15" s="6" t="n"/>
      <c r="E15" s="6" t="n"/>
      <c r="F15" s="6" t="n"/>
      <c r="G15" s="6" t="n"/>
      <c r="H15" s="6" t="n"/>
      <c r="I15" s="6" t="n"/>
      <c r="J15" s="18" t="n"/>
      <c r="K15" s="6" t="n"/>
    </row>
    <row r="16">
      <c r="A16" s="6" t="n"/>
      <c r="B16" s="6" t="n"/>
      <c r="C16" s="7" t="n"/>
      <c r="D16" s="6" t="n"/>
      <c r="E16" s="6" t="n"/>
      <c r="F16" s="6" t="n"/>
      <c r="G16" s="6" t="n"/>
      <c r="H16" s="6" t="n"/>
      <c r="I16" s="6" t="n"/>
      <c r="J16" s="18" t="n"/>
      <c r="K16" s="6" t="n"/>
    </row>
    <row r="17">
      <c r="A17" s="39" t="inlineStr">
        <is>
          <t>재료비</t>
        </is>
      </c>
      <c r="B17" s="20" t="inlineStr">
        <is>
          <t>AI 툴 사용료</t>
        </is>
      </c>
      <c r="C17" s="15" t="n">
        <v>0</v>
      </c>
      <c r="D17" s="24" t="n">
        <v>0</v>
      </c>
      <c r="E17" s="25" t="inlineStr">
        <is>
          <t>명</t>
        </is>
      </c>
      <c r="F17" s="23" t="n">
        <v>1</v>
      </c>
      <c r="G17" s="25" t="inlineStr">
        <is>
          <t>-</t>
        </is>
      </c>
      <c r="H17" s="24" t="n">
        <v>0</v>
      </c>
      <c r="I17" s="25" t="inlineStr">
        <is>
          <t>개월</t>
        </is>
      </c>
      <c r="J17" s="15">
        <f>C17*D17*F17*H17</f>
        <v/>
      </c>
      <c r="K17" s="20" t="n"/>
    </row>
    <row r="18">
      <c r="A18" s="41" t="n"/>
      <c r="B18" s="20" t="inlineStr">
        <is>
          <t>클라우드 사용료</t>
        </is>
      </c>
      <c r="C18" s="15" t="n">
        <v>0</v>
      </c>
      <c r="D18" s="24" t="n">
        <v>0</v>
      </c>
      <c r="E18" s="25" t="inlineStr">
        <is>
          <t>명</t>
        </is>
      </c>
      <c r="F18" s="23" t="n">
        <v>1</v>
      </c>
      <c r="G18" s="25" t="inlineStr">
        <is>
          <t>-</t>
        </is>
      </c>
      <c r="H18" s="24" t="n">
        <v>0</v>
      </c>
      <c r="I18" s="25" t="inlineStr">
        <is>
          <t>개월</t>
        </is>
      </c>
      <c r="J18" s="15">
        <f>C18*D18*F18*H18</f>
        <v/>
      </c>
      <c r="K18" s="20" t="inlineStr">
        <is>
          <t>Azure, AWS 등의 클라우드 자원</t>
        </is>
      </c>
    </row>
    <row r="19">
      <c r="A19" s="41" t="n"/>
      <c r="B19" s="20" t="inlineStr">
        <is>
          <t>기타 구독료</t>
        </is>
      </c>
      <c r="C19" s="15" t="n">
        <v>0</v>
      </c>
      <c r="D19" s="23" t="n">
        <v>1</v>
      </c>
      <c r="E19" s="25" t="inlineStr">
        <is>
          <t>-</t>
        </is>
      </c>
      <c r="F19" s="23" t="n">
        <v>1</v>
      </c>
      <c r="G19" s="25" t="inlineStr">
        <is>
          <t>-</t>
        </is>
      </c>
      <c r="H19" s="24" t="n">
        <v>0</v>
      </c>
      <c r="I19" s="25" t="inlineStr">
        <is>
          <t>개월</t>
        </is>
      </c>
      <c r="J19" s="15">
        <f>C19*D19*F19*H19</f>
        <v/>
      </c>
      <c r="K19" s="20" t="inlineStr">
        <is>
          <t>사전 안내, 문자 대응, 폼 구독료 등</t>
        </is>
      </c>
    </row>
    <row r="20">
      <c r="A20" s="41" t="n"/>
      <c r="B20" s="20" t="inlineStr">
        <is>
          <t>사무 용품 및 교구</t>
        </is>
      </c>
      <c r="C20" s="15" t="n">
        <v>0</v>
      </c>
      <c r="D20" s="24" t="n">
        <v>0</v>
      </c>
      <c r="E20" s="25" t="inlineStr">
        <is>
          <t>명</t>
        </is>
      </c>
      <c r="F20" s="24" t="n">
        <v>0</v>
      </c>
      <c r="G20" s="25" t="inlineStr">
        <is>
          <t>개</t>
        </is>
      </c>
      <c r="H20" s="24" t="n">
        <v>0</v>
      </c>
      <c r="I20" s="25" t="inlineStr">
        <is>
          <t>일</t>
        </is>
      </c>
      <c r="J20" s="15">
        <f>C20*D20*F20*H20</f>
        <v/>
      </c>
      <c r="K20" s="20" t="n"/>
    </row>
    <row r="21">
      <c r="A21" s="41" t="n"/>
      <c r="B21" s="20" t="inlineStr">
        <is>
          <t>다과비</t>
        </is>
      </c>
      <c r="C21" s="15" t="n">
        <v>10000</v>
      </c>
      <c r="D21" s="24" t="n">
        <v>30</v>
      </c>
      <c r="E21" s="25" t="inlineStr">
        <is>
          <t>명</t>
        </is>
      </c>
      <c r="F21" s="23" t="n">
        <v>1</v>
      </c>
      <c r="G21" s="25" t="inlineStr">
        <is>
          <t>-</t>
        </is>
      </c>
      <c r="H21" s="24" t="n">
        <v>1</v>
      </c>
      <c r="I21" s="25" t="inlineStr">
        <is>
          <t>일</t>
        </is>
      </c>
      <c r="J21" s="15">
        <f>C21*D21*F21*H21</f>
        <v/>
      </c>
      <c r="K21" s="20" t="n"/>
    </row>
    <row r="22">
      <c r="A22" s="41" t="n"/>
      <c r="B22" s="20" t="inlineStr">
        <is>
          <t>기타 판촉물</t>
        </is>
      </c>
      <c r="C22" s="15" t="n">
        <v>0</v>
      </c>
      <c r="D22" s="24" t="n"/>
      <c r="E22" s="25" t="inlineStr">
        <is>
          <t>명</t>
        </is>
      </c>
      <c r="F22" s="23" t="n"/>
      <c r="G22" s="25" t="inlineStr">
        <is>
          <t>-</t>
        </is>
      </c>
      <c r="H22" s="24" t="n"/>
      <c r="I22" s="25" t="inlineStr">
        <is>
          <t>일</t>
        </is>
      </c>
      <c r="J22" s="15" t="n"/>
      <c r="K22" s="20" t="inlineStr">
        <is>
          <t>참가자 기념품, 수료증, 상장 인쇄비 등</t>
        </is>
      </c>
    </row>
    <row r="23">
      <c r="A23" s="41" t="n"/>
      <c r="B23" s="20" t="inlineStr">
        <is>
          <t>교재 및 교안</t>
        </is>
      </c>
      <c r="C23" s="15" t="n">
        <v>0</v>
      </c>
      <c r="D23" s="23" t="n">
        <v>1</v>
      </c>
      <c r="E23" s="25" t="inlineStr">
        <is>
          <t>-</t>
        </is>
      </c>
      <c r="F23" s="24" t="n">
        <v>0</v>
      </c>
      <c r="G23" s="25" t="inlineStr">
        <is>
          <t>개</t>
        </is>
      </c>
      <c r="H23" s="24" t="n">
        <v>0</v>
      </c>
      <c r="I23" s="25" t="inlineStr">
        <is>
          <t>부</t>
        </is>
      </c>
      <c r="J23" s="15">
        <f>C23*D23*F23*H23</f>
        <v/>
      </c>
      <c r="K23" s="20" t="n"/>
    </row>
    <row r="24">
      <c r="A24" s="40" t="n"/>
      <c r="B24" s="20" t="inlineStr">
        <is>
          <t>기타 재료비</t>
        </is>
      </c>
      <c r="C24" s="15" t="n">
        <v>0</v>
      </c>
      <c r="D24" s="24" t="n">
        <v>0</v>
      </c>
      <c r="E24" s="25" t="inlineStr">
        <is>
          <t>명</t>
        </is>
      </c>
      <c r="F24" s="23" t="n">
        <v>1</v>
      </c>
      <c r="G24" s="25" t="inlineStr">
        <is>
          <t>-</t>
        </is>
      </c>
      <c r="H24" s="24" t="n">
        <v>0</v>
      </c>
      <c r="I24" s="25" t="inlineStr">
        <is>
          <t>개</t>
        </is>
      </c>
      <c r="J24" s="15">
        <f>C24*D24*F24*H24</f>
        <v/>
      </c>
      <c r="K24" s="20" t="inlineStr">
        <is>
          <t>참가자 상품, 상금 등</t>
        </is>
      </c>
    </row>
    <row r="25">
      <c r="A25" s="6" t="n"/>
      <c r="B25" s="6" t="n"/>
      <c r="C25" s="7" t="n"/>
      <c r="D25" s="6" t="n"/>
      <c r="E25" s="6" t="n"/>
      <c r="F25" s="6" t="n"/>
      <c r="G25" s="6" t="n"/>
      <c r="H25" s="6" t="n"/>
      <c r="I25" s="6" t="n"/>
      <c r="J25" s="16" t="n"/>
      <c r="K25" s="6" t="n"/>
    </row>
    <row r="26">
      <c r="A26" s="6" t="n"/>
      <c r="B26" s="6" t="n"/>
      <c r="C26" s="7" t="n"/>
      <c r="D26" s="6" t="n"/>
      <c r="E26" s="6" t="n"/>
      <c r="F26" s="6" t="n"/>
      <c r="G26" s="6" t="n"/>
      <c r="H26" s="6" t="n"/>
      <c r="I26" s="6" t="n"/>
      <c r="J26" s="7" t="n"/>
      <c r="K26" s="6" t="n"/>
    </row>
    <row r="27">
      <c r="A27" s="6" t="n"/>
      <c r="B27" s="6" t="n"/>
      <c r="C27" s="7" t="n"/>
      <c r="D27" s="6" t="n"/>
      <c r="E27" s="6" t="n"/>
      <c r="F27" s="6" t="n"/>
      <c r="G27" s="6" t="n"/>
      <c r="H27" s="6" t="n"/>
      <c r="I27" s="6" t="n"/>
      <c r="J27" s="7" t="n"/>
      <c r="K27" s="6" t="n"/>
    </row>
    <row r="28">
      <c r="A28" s="8" t="inlineStr">
        <is>
          <t>▼ 간접비</t>
        </is>
      </c>
      <c r="B28" s="6" t="n"/>
      <c r="C28" s="7" t="n"/>
      <c r="D28" s="6" t="n"/>
      <c r="E28" s="6" t="n"/>
      <c r="F28" s="6" t="n"/>
      <c r="G28" s="6" t="n"/>
      <c r="H28" s="6" t="n"/>
      <c r="I28" s="6" t="n"/>
      <c r="J28" s="7" t="n"/>
      <c r="K28" s="6" t="n"/>
    </row>
    <row r="29">
      <c r="A29" s="9" t="inlineStr">
        <is>
          <t>비목</t>
        </is>
      </c>
      <c r="B29" s="9" t="inlineStr">
        <is>
          <t>세목</t>
        </is>
      </c>
      <c r="C29" s="9" t="inlineStr">
        <is>
          <t>단가</t>
        </is>
      </c>
      <c r="D29" s="9" t="inlineStr">
        <is>
          <t>인원</t>
        </is>
      </c>
      <c r="E29" s="26" t="n"/>
      <c r="F29" s="27" t="inlineStr">
        <is>
          <t>수량</t>
        </is>
      </c>
      <c r="G29" s="28" t="inlineStr">
        <is>
          <t>단위</t>
        </is>
      </c>
      <c r="H29" s="27" t="inlineStr">
        <is>
          <t>수량</t>
        </is>
      </c>
      <c r="I29" s="28" t="inlineStr">
        <is>
          <t>단위</t>
        </is>
      </c>
      <c r="J29" s="9" t="inlineStr">
        <is>
          <t>합계</t>
        </is>
      </c>
      <c r="K29" s="9" t="inlineStr">
        <is>
          <t>비고</t>
        </is>
      </c>
    </row>
    <row r="30">
      <c r="A30" s="39" t="inlineStr">
        <is>
          <t>내부 인건비</t>
        </is>
      </c>
      <c r="B30" s="20" t="inlineStr">
        <is>
          <t>사업 총괄 인력</t>
        </is>
      </c>
      <c r="C30" s="15" t="n">
        <v>4000000</v>
      </c>
      <c r="D30" s="29" t="n">
        <v>1</v>
      </c>
      <c r="E30" s="25" t="inlineStr">
        <is>
          <t>명</t>
        </is>
      </c>
      <c r="F30" s="24" t="n">
        <v>2</v>
      </c>
      <c r="G30" s="25" t="inlineStr">
        <is>
          <t>개월</t>
        </is>
      </c>
      <c r="H30" s="24" t="n">
        <v>30</v>
      </c>
      <c r="I30" s="25" t="inlineStr">
        <is>
          <t>%</t>
        </is>
      </c>
      <c r="J30" s="15">
        <f>C30*D30*F30*H30/100</f>
        <v/>
      </c>
      <c r="K30" s="20" t="inlineStr">
        <is>
          <t>PM 1인 * 2개월(7월, 27년도 1월)</t>
        </is>
      </c>
    </row>
    <row r="31">
      <c r="A31" s="41" t="n"/>
      <c r="B31" s="20" t="inlineStr">
        <is>
          <t>사업 운영 인력</t>
        </is>
      </c>
      <c r="C31" s="15" t="n">
        <v>3200000</v>
      </c>
      <c r="D31" s="29" t="n">
        <v>1</v>
      </c>
      <c r="E31" s="25" t="inlineStr">
        <is>
          <t>명</t>
        </is>
      </c>
      <c r="F31" s="24" t="n">
        <v>2</v>
      </c>
      <c r="G31" s="25" t="inlineStr">
        <is>
          <t>개월</t>
        </is>
      </c>
      <c r="H31" s="24" t="n">
        <v>30</v>
      </c>
      <c r="I31" s="25" t="inlineStr">
        <is>
          <t>%</t>
        </is>
      </c>
      <c r="J31" s="15">
        <f>C31*D31*F31*H31/100</f>
        <v/>
      </c>
      <c r="K31" s="20" t="inlineStr">
        <is>
          <t>실무진 1인 * 1개월</t>
        </is>
      </c>
    </row>
    <row r="32">
      <c r="A32" s="40" t="n"/>
      <c r="B32" s="20" t="inlineStr">
        <is>
          <t>콘텐츠 개발 인력</t>
        </is>
      </c>
      <c r="C32" s="15" t="n">
        <v>5000000</v>
      </c>
      <c r="D32" s="29" t="n">
        <v>1</v>
      </c>
      <c r="E32" s="25" t="inlineStr">
        <is>
          <t>명</t>
        </is>
      </c>
      <c r="F32" s="24" t="n">
        <v>2</v>
      </c>
      <c r="G32" s="25" t="inlineStr">
        <is>
          <t>개월</t>
        </is>
      </c>
      <c r="H32" s="24" t="n">
        <v>30</v>
      </c>
      <c r="I32" s="25" t="inlineStr">
        <is>
          <t>%</t>
        </is>
      </c>
      <c r="J32" s="15">
        <f>C32*D32*F32*H32/100</f>
        <v/>
      </c>
      <c r="K32" s="20" t="inlineStr">
        <is>
          <t>교육 커리큘럼 및 컨텐츠 신규 개발 시</t>
        </is>
      </c>
    </row>
    <row r="33">
      <c r="A33" s="6" t="n"/>
      <c r="B33" s="6" t="n"/>
      <c r="C33" s="18" t="n"/>
      <c r="D33" s="6" t="n"/>
      <c r="E33" s="6" t="n"/>
      <c r="F33" s="6" t="n"/>
      <c r="G33" s="6" t="n"/>
      <c r="H33" s="6" t="n"/>
      <c r="I33" s="6" t="n"/>
      <c r="J33" s="18" t="n"/>
      <c r="K33" s="6" t="n"/>
    </row>
    <row r="34">
      <c r="A34" s="39" t="inlineStr">
        <is>
          <t>내부 인건비
(실비)</t>
        </is>
      </c>
      <c r="B34" s="20" t="inlineStr">
        <is>
          <t>교통비</t>
        </is>
      </c>
      <c r="C34" s="15" t="n">
        <v>100000</v>
      </c>
      <c r="D34" s="29" t="n">
        <v>2</v>
      </c>
      <c r="E34" s="25" t="inlineStr">
        <is>
          <t>명</t>
        </is>
      </c>
      <c r="F34" s="24" t="n">
        <v>1</v>
      </c>
      <c r="G34" s="25" t="inlineStr">
        <is>
          <t>회</t>
        </is>
      </c>
      <c r="H34" s="24" t="n">
        <v>4</v>
      </c>
      <c r="I34" s="25" t="inlineStr">
        <is>
          <t>일</t>
        </is>
      </c>
      <c r="J34" s="15">
        <f>C34*D34*F34*H34</f>
        <v/>
      </c>
      <c r="K34" s="20" t="n"/>
    </row>
    <row r="35">
      <c r="A35" s="40" t="n"/>
      <c r="B35" s="20" t="inlineStr">
        <is>
          <t>식비</t>
        </is>
      </c>
      <c r="C35" s="15" t="n">
        <v>30000</v>
      </c>
      <c r="D35" s="29" t="n">
        <v>2</v>
      </c>
      <c r="E35" s="25" t="inlineStr">
        <is>
          <t>명</t>
        </is>
      </c>
      <c r="F35" s="24" t="n">
        <v>1</v>
      </c>
      <c r="G35" s="25" t="inlineStr">
        <is>
          <t>회</t>
        </is>
      </c>
      <c r="H35" s="24" t="n">
        <v>4</v>
      </c>
      <c r="I35" s="25" t="inlineStr">
        <is>
          <t>일</t>
        </is>
      </c>
      <c r="J35" s="15">
        <f>C35*D35*F35*H35</f>
        <v/>
      </c>
      <c r="K35" s="20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7">
    <mergeCell ref="A30:A32"/>
    <mergeCell ref="A34:A35"/>
    <mergeCell ref="A17:A24"/>
    <mergeCell ref="A13:A14"/>
    <mergeCell ref="A2:D2"/>
    <mergeCell ref="A6:A7"/>
    <mergeCell ref="A9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D14"/>
  <sheetViews>
    <sheetView workbookViewId="0">
      <selection activeCell="A1" sqref="A1"/>
    </sheetView>
  </sheetViews>
  <sheetFormatPr baseColWidth="8" defaultColWidth="12.63" defaultRowHeight="15.75" customHeight="1"/>
  <cols>
    <col width="16.75" customWidth="1" style="35" min="3" max="3"/>
    <col width="26.25" customWidth="1" style="35" min="5" max="5"/>
  </cols>
  <sheetData>
    <row r="2">
      <c r="A2" s="30" t="inlineStr">
        <is>
          <t>2026년 7월 부트캠프 '몰입형' 일정 (총 60시간)
- 기간: 7/6(월) ~ 7/17(금) (총 10일, 주말 제외)
- 방식: 오전 3시간(모듈 1, 3) + 오후 3시간(모듈 2, 4)
-시간표: 
* 오전 모듈:10:00~13:00 (3시간)
점심 시간: 13:00~14:00 (1시간)
오후 모듈: 14:00~17:00 (3시간)
-합계: 일 6시간 교육 × 10일 = 60시간</t>
        </is>
      </c>
    </row>
    <row r="4">
      <c r="A4" s="31" t="inlineStr">
        <is>
          <t>[1주차]</t>
        </is>
      </c>
    </row>
    <row r="5">
      <c r="A5" s="34" t="inlineStr">
        <is>
          <t>구분</t>
        </is>
      </c>
      <c r="B5" s="34" t="inlineStr">
        <is>
          <t>시간</t>
        </is>
      </c>
      <c r="C5" s="34" t="inlineStr">
        <is>
          <t>내용</t>
        </is>
      </c>
      <c r="D5" s="34" t="inlineStr">
        <is>
          <t>비고</t>
        </is>
      </c>
    </row>
    <row r="6">
      <c r="A6" s="33" t="inlineStr">
        <is>
          <t>오전</t>
        </is>
      </c>
      <c r="B6" s="34" t="inlineStr">
        <is>
          <t>10:00~13:00</t>
        </is>
      </c>
      <c r="C6" s="33" t="inlineStr">
        <is>
          <t>모듈 1</t>
        </is>
      </c>
      <c r="D6" s="34" t="inlineStr">
        <is>
          <t>3시간 × 5일 = 15시간</t>
        </is>
      </c>
    </row>
    <row r="7">
      <c r="A7" s="33" t="inlineStr">
        <is>
          <t>점심</t>
        </is>
      </c>
      <c r="B7" s="34" t="inlineStr">
        <is>
          <t>13:00~14:00</t>
        </is>
      </c>
      <c r="C7" s="34" t="inlineStr">
        <is>
          <t>식사 및 휴식</t>
        </is>
      </c>
      <c r="D7" s="34" t="n"/>
    </row>
    <row r="8">
      <c r="A8" s="33" t="inlineStr">
        <is>
          <t>오후</t>
        </is>
      </c>
      <c r="B8" s="34" t="inlineStr">
        <is>
          <t>14:00~17:00</t>
        </is>
      </c>
      <c r="C8" s="33" t="inlineStr">
        <is>
          <t xml:space="preserve">모듈 2 </t>
        </is>
      </c>
      <c r="D8" s="34" t="inlineStr">
        <is>
          <t>3시간 × 5일 = 15시간</t>
        </is>
      </c>
    </row>
    <row r="10">
      <c r="A10" s="31" t="inlineStr">
        <is>
          <t>[2주차]</t>
        </is>
      </c>
    </row>
    <row r="11">
      <c r="A11" s="34" t="inlineStr">
        <is>
          <t>구분</t>
        </is>
      </c>
      <c r="B11" s="34" t="inlineStr">
        <is>
          <t>시간</t>
        </is>
      </c>
      <c r="C11" s="34" t="inlineStr">
        <is>
          <t>내용</t>
        </is>
      </c>
      <c r="D11" s="34" t="inlineStr">
        <is>
          <t>비고</t>
        </is>
      </c>
    </row>
    <row r="12">
      <c r="A12" s="33" t="inlineStr">
        <is>
          <t>오전</t>
        </is>
      </c>
      <c r="B12" s="34" t="inlineStr">
        <is>
          <t>10:00~13:00</t>
        </is>
      </c>
      <c r="C12" s="33" t="inlineStr">
        <is>
          <t>모듈 3</t>
        </is>
      </c>
      <c r="D12" s="34" t="inlineStr">
        <is>
          <t>3시간 × 5일 = 15시간</t>
        </is>
      </c>
    </row>
    <row r="13">
      <c r="A13" s="33" t="inlineStr">
        <is>
          <t>점심</t>
        </is>
      </c>
      <c r="B13" s="34" t="inlineStr">
        <is>
          <t>13:00~14:00</t>
        </is>
      </c>
      <c r="C13" s="34" t="inlineStr">
        <is>
          <t>식사 및 휴식</t>
        </is>
      </c>
      <c r="D13" s="34" t="n"/>
    </row>
    <row r="14">
      <c r="A14" s="33" t="inlineStr">
        <is>
          <t>오후</t>
        </is>
      </c>
      <c r="B14" s="34" t="inlineStr">
        <is>
          <t>14:00~17:00</t>
        </is>
      </c>
      <c r="C14" s="33" t="inlineStr">
        <is>
          <t>모듈 4</t>
        </is>
      </c>
      <c r="D14" s="34" t="inlineStr">
        <is>
          <t>3시간 × 5일 = 15시간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2026-03-26T11:07:21Z</dcterms:created>
  <dcterms:modified xmlns:dcterms="http://purl.org/dc/terms/" xmlns:xsi="http://www.w3.org/2001/XMLSchema-instance" xsi:type="dcterms:W3CDTF">2026-03-26T11:07:21Z</dcterms:modified>
</cp:coreProperties>
</file>