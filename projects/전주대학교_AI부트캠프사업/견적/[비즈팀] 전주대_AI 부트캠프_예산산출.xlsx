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전주대학교_AI부트캠프사업\견적\"/>
    </mc:Choice>
  </mc:AlternateContent>
  <xr:revisionPtr revIDLastSave="0" documentId="13_ncr:1_{8207B806-E49F-430A-9124-1892DD0B238A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ND1" sheetId="1" r:id="rId1"/>
    <sheet name="ND2" sheetId="3" r:id="rId2"/>
    <sheet name="ND5" sheetId="2" r:id="rId3"/>
    <sheet name="일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K19" i="3"/>
  <c r="K35" i="2"/>
  <c r="K34" i="2"/>
  <c r="K32" i="2"/>
  <c r="K31" i="2"/>
  <c r="K30" i="2"/>
  <c r="K24" i="2"/>
  <c r="K23" i="2"/>
  <c r="K21" i="2"/>
  <c r="K20" i="2"/>
  <c r="K18" i="2"/>
  <c r="K17" i="2"/>
  <c r="K14" i="2"/>
  <c r="K13" i="2"/>
  <c r="K11" i="2"/>
  <c r="K10" i="2"/>
  <c r="K9" i="2"/>
  <c r="K7" i="2"/>
  <c r="K6" i="2"/>
  <c r="K35" i="1"/>
  <c r="K34" i="1"/>
  <c r="K32" i="1"/>
  <c r="K31" i="1"/>
  <c r="K30" i="1"/>
  <c r="K24" i="1"/>
  <c r="K23" i="1"/>
  <c r="K21" i="1"/>
  <c r="K20" i="1"/>
  <c r="K19" i="1"/>
  <c r="K18" i="1"/>
  <c r="K17" i="1"/>
  <c r="K14" i="1"/>
  <c r="K13" i="1"/>
  <c r="K11" i="1"/>
  <c r="K10" i="1"/>
  <c r="K9" i="1"/>
  <c r="K7" i="1"/>
  <c r="K6" i="1"/>
  <c r="K35" i="3"/>
  <c r="K34" i="3"/>
  <c r="K32" i="3"/>
  <c r="K31" i="3"/>
  <c r="K30" i="3"/>
  <c r="K24" i="3"/>
  <c r="K23" i="3"/>
  <c r="K21" i="3"/>
  <c r="K20" i="3"/>
  <c r="K18" i="3"/>
  <c r="K17" i="3"/>
  <c r="K14" i="3"/>
  <c r="K13" i="3"/>
  <c r="K11" i="3"/>
  <c r="K10" i="3"/>
  <c r="K9" i="3"/>
  <c r="K7" i="3"/>
  <c r="K6" i="3"/>
</calcChain>
</file>

<file path=xl/sharedStrings.xml><?xml version="1.0" encoding="utf-8"?>
<sst xmlns="http://schemas.openxmlformats.org/spreadsheetml/2006/main" count="402" uniqueCount="80">
  <si>
    <t>원가 산출 내역</t>
  </si>
  <si>
    <t xml:space="preserve">  * 파란색 숫자를 조정하여 원가를 산출해주세요</t>
  </si>
  <si>
    <t>▼ 직접비</t>
  </si>
  <si>
    <t>비목</t>
  </si>
  <si>
    <t>세목</t>
  </si>
  <si>
    <t>단가</t>
  </si>
  <si>
    <t>수량</t>
  </si>
  <si>
    <t>단위</t>
  </si>
  <si>
    <t>합계</t>
  </si>
  <si>
    <t>비고</t>
  </si>
  <si>
    <t>외부 인건비</t>
  </si>
  <si>
    <t>주 강사비</t>
  </si>
  <si>
    <t>명</t>
  </si>
  <si>
    <t>시간</t>
  </si>
  <si>
    <t>일</t>
  </si>
  <si>
    <t>강사 등급 S급</t>
  </si>
  <si>
    <t>보조 강사비</t>
  </si>
  <si>
    <t>3~10만원 사이 협의 필요</t>
  </si>
  <si>
    <t>외부 인건비
(실비)</t>
  </si>
  <si>
    <t>교통비</t>
  </si>
  <si>
    <t>회</t>
  </si>
  <si>
    <t>식비</t>
  </si>
  <si>
    <t>10일치 (3식 기준) / 주말 식비 포함</t>
  </si>
  <si>
    <t>숙박비</t>
  </si>
  <si>
    <t>-</t>
  </si>
  <si>
    <t>1박 8만 원 기준 / 9박 (7/5 입실 ~ 7/14 퇴실)</t>
  </si>
  <si>
    <t>운영비</t>
  </si>
  <si>
    <t>LMS CS 응대비</t>
  </si>
  <si>
    <t>기타 비품 대여</t>
  </si>
  <si>
    <t>재료비</t>
  </si>
  <si>
    <t>AI 툴 사용료</t>
  </si>
  <si>
    <t>식</t>
  </si>
  <si>
    <t>기본 API 및 외부 데이터셋 호출 (인당 1.5만원)</t>
  </si>
  <si>
    <t>클라우드 사용료</t>
  </si>
  <si>
    <t>고성능 GPU VDI (Isaac Sim 등) 및 스토리지 (시간당 4,000원)</t>
  </si>
  <si>
    <t>기타 구독료</t>
  </si>
  <si>
    <t>건</t>
  </si>
  <si>
    <t>사무 용품 및 교구</t>
  </si>
  <si>
    <t>개</t>
  </si>
  <si>
    <t>다과비</t>
  </si>
  <si>
    <t>기타 판촉물</t>
  </si>
  <si>
    <t>참가자 기념품, 수료증, 상장 인쇄비 등</t>
  </si>
  <si>
    <t>교재 및 교안</t>
  </si>
  <si>
    <t>부</t>
  </si>
  <si>
    <t>기타 재료비</t>
  </si>
  <si>
    <t>참가자 상품, 상금 등</t>
  </si>
  <si>
    <t>▼ 간접비</t>
  </si>
  <si>
    <t>인원</t>
  </si>
  <si>
    <t>내부 인건비</t>
  </si>
  <si>
    <t>사업 총괄 인력</t>
  </si>
  <si>
    <t>개월</t>
  </si>
  <si>
    <t>%</t>
  </si>
  <si>
    <t>PM 1인 * 2개월(7월, 27년도 1월)</t>
  </si>
  <si>
    <t>사업 운영 인력</t>
  </si>
  <si>
    <t>실무진 1인 * 1개월</t>
  </si>
  <si>
    <t>콘텐츠 개발 인력</t>
  </si>
  <si>
    <t>교육 커리큘럼 및 컨텐츠 신규 개발 시</t>
  </si>
  <si>
    <t>내부 인건비
(실비)</t>
  </si>
  <si>
    <t>기초 API 실습 크레딧 (인당 1만원)</t>
  </si>
  <si>
    <t>기본 실습 Web-IDE 및 경량 인스턴스 (시간당 1,000원)</t>
  </si>
  <si>
    <t>대규모 상용 LLM API 리소스 (RAG, 에이전트 실험용 / 인당 6만원)</t>
  </si>
  <si>
    <t>AI 서빙 클러스터 및 중급 GPU 인스턴스 (시간당 2,500원)</t>
  </si>
  <si>
    <t>2026년 7월 부트캠프 '몰입형' 일정 (총 60시간)
- 기간: 7/6(월) ~ 7/17(금) (총 10일, 주말 제외)
- 방식: 오전 3시간(모듈 1, 3) + 오후 3시간(모듈 2, 4)
-시간표: 
* 오전 모듈:10:00~13:00 (3시간)
점심 시간: 13:00~14:00 (1시간)
오후 모듈: 14:00~17:00 (3시간)
-합계: 일 6시간 교육 × 10일 = 60시간</t>
  </si>
  <si>
    <t>[1주차]</t>
  </si>
  <si>
    <t>구분</t>
  </si>
  <si>
    <t>내용</t>
  </si>
  <si>
    <t>오전</t>
  </si>
  <si>
    <t>10:00~13:00</t>
  </si>
  <si>
    <t>모듈 1</t>
  </si>
  <si>
    <t>3시간 × 5일 = 15시간</t>
  </si>
  <si>
    <t>점심</t>
  </si>
  <si>
    <t>13:00~14:00</t>
  </si>
  <si>
    <t>식사 및 휴식</t>
  </si>
  <si>
    <t>오후</t>
  </si>
  <si>
    <t>14:00~17:00</t>
  </si>
  <si>
    <t xml:space="preserve">모듈 2 </t>
  </si>
  <si>
    <t>[2주차]</t>
  </si>
  <si>
    <t>모듈 3</t>
  </si>
  <si>
    <t>모듈 4</t>
  </si>
  <si>
    <r>
      <t xml:space="preserve">Claude team </t>
    </r>
    <r>
      <rPr>
        <sz val="10"/>
        <color theme="1"/>
        <rFont val="맑은 고딕"/>
        <family val="3"/>
        <charset val="129"/>
      </rPr>
      <t>구독 및 운영비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3"/>
        <charset val="129"/>
      </rPr>
      <t>인당</t>
    </r>
    <r>
      <rPr>
        <sz val="10"/>
        <color theme="1"/>
        <rFont val="Arial"/>
        <family val="2"/>
      </rPr>
      <t xml:space="preserve"> 45,000</t>
    </r>
    <r>
      <rPr>
        <sz val="10"/>
        <color theme="1"/>
        <rFont val="맑은 고딕"/>
        <family val="2"/>
        <charset val="129"/>
      </rPr>
      <t>원</t>
    </r>
    <r>
      <rPr>
        <sz val="10"/>
        <color theme="1"/>
        <rFont val="Arial"/>
        <family val="2"/>
      </rPr>
      <t>)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</si>
</sst>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₩]#,##0"/>
  </numFmts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FFFFFF"/>
      <name val="Arial"/>
      <family val="2"/>
    </font>
    <font>
      <b/>
      <sz val="10"/>
      <color theme="1"/>
      <name val="Arial"/>
      <family val="2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76" fontId="4" fillId="0" borderId="3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176" fontId="4" fillId="0" borderId="3" xfId="0" applyNumberFormat="1" applyFont="1" applyBorder="1" applyAlignment="1">
      <alignment vertical="center"/>
    </xf>
    <xf numFmtId="0" fontId="7" fillId="0" borderId="4" xfId="0" applyFont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3" borderId="3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2" fillId="0" borderId="8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26"/>
  <sheetViews>
    <sheetView workbookViewId="0">
      <selection activeCell="C19" sqref="C19:L19"/>
    </sheetView>
  </sheetViews>
  <sheetFormatPr defaultColWidth="12.6640625" defaultRowHeight="15.75" customHeight="1"/>
  <cols>
    <col min="1" max="1" width="3.109375" customWidth="1"/>
    <col min="3" max="3" width="17.77734375" customWidth="1"/>
    <col min="6" max="6" width="4.44140625" customWidth="1"/>
    <col min="8" max="8" width="4.44140625" customWidth="1"/>
    <col min="10" max="10" width="4.44140625" customWidth="1"/>
    <col min="12" max="12" width="43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24" t="s">
        <v>0</v>
      </c>
      <c r="C2" s="25"/>
      <c r="D2" s="25"/>
      <c r="E2" s="26"/>
      <c r="F2" s="2" t="s">
        <v>1</v>
      </c>
      <c r="G2" s="3"/>
      <c r="H2" s="3"/>
      <c r="I2" s="3"/>
      <c r="J2" s="3"/>
      <c r="K2" s="4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3"/>
      <c r="C3" s="3"/>
      <c r="D3" s="4"/>
      <c r="E3" s="3"/>
      <c r="F3" s="3"/>
      <c r="G3" s="3"/>
      <c r="H3" s="3"/>
      <c r="I3" s="3"/>
      <c r="J3" s="3"/>
      <c r="K3" s="4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5" t="s">
        <v>2</v>
      </c>
      <c r="C4" s="3"/>
      <c r="D4" s="4"/>
      <c r="E4" s="3"/>
      <c r="F4" s="3"/>
      <c r="G4" s="3"/>
      <c r="H4" s="3"/>
      <c r="I4" s="3"/>
      <c r="J4" s="3"/>
      <c r="K4" s="4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6</v>
      </c>
      <c r="H5" s="6" t="s">
        <v>7</v>
      </c>
      <c r="I5" s="6" t="s">
        <v>6</v>
      </c>
      <c r="J5" s="6" t="s">
        <v>7</v>
      </c>
      <c r="K5" s="6" t="s">
        <v>8</v>
      </c>
      <c r="L5" s="6" t="s">
        <v>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21" t="s">
        <v>10</v>
      </c>
      <c r="C6" s="7" t="s">
        <v>11</v>
      </c>
      <c r="D6" s="8">
        <v>300000</v>
      </c>
      <c r="E6" s="9">
        <v>4</v>
      </c>
      <c r="F6" s="10" t="s">
        <v>12</v>
      </c>
      <c r="G6" s="9">
        <v>15</v>
      </c>
      <c r="H6" s="10" t="s">
        <v>13</v>
      </c>
      <c r="I6" s="9">
        <v>1</v>
      </c>
      <c r="J6" s="10" t="s">
        <v>14</v>
      </c>
      <c r="K6" s="8">
        <f>D6*E6*G6*I6</f>
        <v>18000000</v>
      </c>
      <c r="L6" s="7" t="s">
        <v>15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23"/>
      <c r="C7" s="7" t="s">
        <v>16</v>
      </c>
      <c r="D7" s="8">
        <v>50000</v>
      </c>
      <c r="E7" s="9">
        <v>4</v>
      </c>
      <c r="F7" s="10" t="s">
        <v>12</v>
      </c>
      <c r="G7" s="9">
        <v>15</v>
      </c>
      <c r="H7" s="10" t="s">
        <v>13</v>
      </c>
      <c r="I7" s="9">
        <v>1</v>
      </c>
      <c r="J7" s="10" t="s">
        <v>14</v>
      </c>
      <c r="K7" s="8">
        <f>D7*E7*G7*I7</f>
        <v>3000000</v>
      </c>
      <c r="L7" s="7" t="s">
        <v>17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3"/>
      <c r="C8" s="3"/>
      <c r="D8" s="4"/>
      <c r="E8" s="3"/>
      <c r="F8" s="3"/>
      <c r="G8" s="3"/>
      <c r="H8" s="3"/>
      <c r="I8" s="3"/>
      <c r="J8" s="3"/>
      <c r="K8" s="11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21" t="s">
        <v>18</v>
      </c>
      <c r="C9" s="7" t="s">
        <v>19</v>
      </c>
      <c r="D9" s="8">
        <v>80000</v>
      </c>
      <c r="E9" s="9">
        <v>4</v>
      </c>
      <c r="F9" s="10" t="s">
        <v>12</v>
      </c>
      <c r="G9" s="9">
        <v>1</v>
      </c>
      <c r="H9" s="10" t="s">
        <v>20</v>
      </c>
      <c r="I9" s="9">
        <v>1</v>
      </c>
      <c r="J9" s="10" t="s">
        <v>14</v>
      </c>
      <c r="K9" s="8">
        <f>D9*E9*G9*I9</f>
        <v>320000</v>
      </c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22"/>
      <c r="C10" s="7" t="s">
        <v>21</v>
      </c>
      <c r="D10" s="8">
        <v>30000</v>
      </c>
      <c r="E10" s="9">
        <v>4</v>
      </c>
      <c r="F10" s="10" t="s">
        <v>12</v>
      </c>
      <c r="G10" s="9">
        <v>1</v>
      </c>
      <c r="H10" s="10" t="s">
        <v>20</v>
      </c>
      <c r="I10" s="9">
        <v>4</v>
      </c>
      <c r="J10" s="10" t="s">
        <v>14</v>
      </c>
      <c r="K10" s="8">
        <f>D10*E10*G10*I10</f>
        <v>480000</v>
      </c>
      <c r="L10" s="7" t="s">
        <v>22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3"/>
      <c r="C11" s="7" t="s">
        <v>23</v>
      </c>
      <c r="D11" s="8">
        <v>80000</v>
      </c>
      <c r="E11" s="9">
        <v>4</v>
      </c>
      <c r="F11" s="10" t="s">
        <v>12</v>
      </c>
      <c r="G11" s="12">
        <v>1</v>
      </c>
      <c r="H11" s="10" t="s">
        <v>24</v>
      </c>
      <c r="I11" s="9">
        <v>4</v>
      </c>
      <c r="J11" s="10" t="s">
        <v>14</v>
      </c>
      <c r="K11" s="8">
        <f>D11*E11*G11*I11</f>
        <v>1280000</v>
      </c>
      <c r="L11" s="7" t="s">
        <v>25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3"/>
      <c r="C12" s="3"/>
      <c r="D12" s="4"/>
      <c r="E12" s="3"/>
      <c r="F12" s="3"/>
      <c r="G12" s="3"/>
      <c r="H12" s="3"/>
      <c r="I12" s="3"/>
      <c r="J12" s="3"/>
      <c r="K12" s="11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1" t="s">
        <v>26</v>
      </c>
      <c r="C13" s="7" t="s">
        <v>27</v>
      </c>
      <c r="D13" s="8"/>
      <c r="E13" s="9">
        <v>0</v>
      </c>
      <c r="F13" s="10" t="s">
        <v>12</v>
      </c>
      <c r="G13" s="12">
        <v>1</v>
      </c>
      <c r="H13" s="10" t="s">
        <v>24</v>
      </c>
      <c r="I13" s="9">
        <v>0</v>
      </c>
      <c r="J13" s="10" t="s">
        <v>14</v>
      </c>
      <c r="K13" s="8">
        <f>D13*E13*G13*I13</f>
        <v>0</v>
      </c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23"/>
      <c r="C14" s="7" t="s">
        <v>28</v>
      </c>
      <c r="D14" s="8"/>
      <c r="E14" s="9">
        <v>0</v>
      </c>
      <c r="F14" s="10" t="s">
        <v>12</v>
      </c>
      <c r="G14" s="12">
        <v>1</v>
      </c>
      <c r="H14" s="10" t="s">
        <v>24</v>
      </c>
      <c r="I14" s="9">
        <v>0</v>
      </c>
      <c r="J14" s="10" t="s">
        <v>14</v>
      </c>
      <c r="K14" s="8">
        <f>D14*E14*G14*I14</f>
        <v>0</v>
      </c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3"/>
      <c r="C15" s="3"/>
      <c r="D15" s="4"/>
      <c r="E15" s="3"/>
      <c r="F15" s="3"/>
      <c r="G15" s="3"/>
      <c r="H15" s="3"/>
      <c r="I15" s="3"/>
      <c r="J15" s="3"/>
      <c r="K15" s="11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3"/>
      <c r="C16" s="3"/>
      <c r="D16" s="4"/>
      <c r="E16" s="3"/>
      <c r="F16" s="3"/>
      <c r="G16" s="3"/>
      <c r="H16" s="3"/>
      <c r="I16" s="3"/>
      <c r="J16" s="3"/>
      <c r="K16" s="11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21" t="s">
        <v>29</v>
      </c>
      <c r="C17" s="7" t="s">
        <v>30</v>
      </c>
      <c r="D17" s="8">
        <v>10000</v>
      </c>
      <c r="E17" s="9">
        <v>30</v>
      </c>
      <c r="F17" s="10" t="s">
        <v>12</v>
      </c>
      <c r="G17" s="12">
        <v>1</v>
      </c>
      <c r="H17" s="10" t="s">
        <v>31</v>
      </c>
      <c r="I17" s="9">
        <v>1</v>
      </c>
      <c r="J17" s="10" t="s">
        <v>20</v>
      </c>
      <c r="K17" s="8">
        <f>D17*E17*G17*I17</f>
        <v>300000</v>
      </c>
      <c r="L17" s="7" t="s">
        <v>58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22"/>
      <c r="C18" s="7" t="s">
        <v>33</v>
      </c>
      <c r="D18" s="8">
        <v>1000</v>
      </c>
      <c r="E18" s="9">
        <v>30</v>
      </c>
      <c r="F18" s="10" t="s">
        <v>12</v>
      </c>
      <c r="G18" s="12">
        <v>60</v>
      </c>
      <c r="H18" s="10" t="s">
        <v>13</v>
      </c>
      <c r="I18" s="9">
        <v>1</v>
      </c>
      <c r="J18" s="10" t="s">
        <v>20</v>
      </c>
      <c r="K18" s="8">
        <f>D18*E18*G18*I18</f>
        <v>1800000</v>
      </c>
      <c r="L18" s="7" t="s">
        <v>59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22"/>
      <c r="C19" s="7" t="s">
        <v>35</v>
      </c>
      <c r="D19" s="8">
        <v>45000</v>
      </c>
      <c r="E19" s="9">
        <v>30</v>
      </c>
      <c r="F19" s="10" t="s">
        <v>12</v>
      </c>
      <c r="G19" s="12">
        <v>1</v>
      </c>
      <c r="H19" s="10" t="s">
        <v>36</v>
      </c>
      <c r="I19" s="9">
        <v>1</v>
      </c>
      <c r="J19" s="10" t="s">
        <v>31</v>
      </c>
      <c r="K19" s="8">
        <f>D19*E19*G19*I19</f>
        <v>1350000</v>
      </c>
      <c r="L19" s="7" t="s">
        <v>79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22"/>
      <c r="C20" s="7" t="s">
        <v>37</v>
      </c>
      <c r="D20" s="8">
        <v>0</v>
      </c>
      <c r="E20" s="9">
        <v>0</v>
      </c>
      <c r="F20" s="10" t="s">
        <v>12</v>
      </c>
      <c r="G20" s="9">
        <v>0</v>
      </c>
      <c r="H20" s="10" t="s">
        <v>38</v>
      </c>
      <c r="I20" s="9">
        <v>0</v>
      </c>
      <c r="J20" s="10" t="s">
        <v>14</v>
      </c>
      <c r="K20" s="8">
        <f>D20*E20*G20*I20</f>
        <v>0</v>
      </c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22"/>
      <c r="C21" s="7" t="s">
        <v>39</v>
      </c>
      <c r="D21" s="8">
        <v>10000</v>
      </c>
      <c r="E21" s="9">
        <v>30</v>
      </c>
      <c r="F21" s="10" t="s">
        <v>12</v>
      </c>
      <c r="G21" s="12">
        <v>1</v>
      </c>
      <c r="H21" s="10" t="s">
        <v>24</v>
      </c>
      <c r="I21" s="9">
        <v>1</v>
      </c>
      <c r="J21" s="10" t="s">
        <v>14</v>
      </c>
      <c r="K21" s="8">
        <f>D21*E21*G21*I21</f>
        <v>300000</v>
      </c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22"/>
      <c r="C22" s="7" t="s">
        <v>40</v>
      </c>
      <c r="D22" s="8">
        <v>0</v>
      </c>
      <c r="E22" s="9"/>
      <c r="F22" s="10" t="s">
        <v>12</v>
      </c>
      <c r="G22" s="12"/>
      <c r="H22" s="10" t="s">
        <v>24</v>
      </c>
      <c r="I22" s="9"/>
      <c r="J22" s="10" t="s">
        <v>14</v>
      </c>
      <c r="K22" s="8"/>
      <c r="L22" s="7" t="s">
        <v>41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22"/>
      <c r="C23" s="7" t="s">
        <v>42</v>
      </c>
      <c r="D23" s="8">
        <v>0</v>
      </c>
      <c r="E23" s="12">
        <v>1</v>
      </c>
      <c r="F23" s="10" t="s">
        <v>24</v>
      </c>
      <c r="G23" s="9">
        <v>0</v>
      </c>
      <c r="H23" s="10" t="s">
        <v>38</v>
      </c>
      <c r="I23" s="9">
        <v>0</v>
      </c>
      <c r="J23" s="10" t="s">
        <v>43</v>
      </c>
      <c r="K23" s="8">
        <f>D23*E23*G23*I23</f>
        <v>0</v>
      </c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23"/>
      <c r="C24" s="7" t="s">
        <v>44</v>
      </c>
      <c r="D24" s="8">
        <v>0</v>
      </c>
      <c r="E24" s="9">
        <v>0</v>
      </c>
      <c r="F24" s="10" t="s">
        <v>12</v>
      </c>
      <c r="G24" s="12">
        <v>1</v>
      </c>
      <c r="H24" s="10" t="s">
        <v>24</v>
      </c>
      <c r="I24" s="9">
        <v>0</v>
      </c>
      <c r="J24" s="10" t="s">
        <v>38</v>
      </c>
      <c r="K24" s="8">
        <f>D24*E24*G24*I24</f>
        <v>0</v>
      </c>
      <c r="L24" s="7" t="s">
        <v>45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3"/>
      <c r="C25" s="3"/>
      <c r="D25" s="4"/>
      <c r="E25" s="3"/>
      <c r="F25" s="3"/>
      <c r="G25" s="3"/>
      <c r="H25" s="3"/>
      <c r="I25" s="3"/>
      <c r="J25" s="3"/>
      <c r="K25" s="1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3"/>
      <c r="C26" s="3"/>
      <c r="D26" s="4"/>
      <c r="E26" s="3"/>
      <c r="F26" s="3"/>
      <c r="G26" s="3"/>
      <c r="H26" s="3"/>
      <c r="I26" s="3"/>
      <c r="J26" s="3"/>
      <c r="K26" s="4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3"/>
      <c r="C27" s="3"/>
      <c r="D27" s="4"/>
      <c r="E27" s="3"/>
      <c r="F27" s="3"/>
      <c r="G27" s="3"/>
      <c r="H27" s="3"/>
      <c r="I27" s="3"/>
      <c r="J27" s="3"/>
      <c r="K27" s="4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5" t="s">
        <v>46</v>
      </c>
      <c r="C28" s="3"/>
      <c r="D28" s="4"/>
      <c r="E28" s="3"/>
      <c r="F28" s="3"/>
      <c r="G28" s="3"/>
      <c r="H28" s="3"/>
      <c r="I28" s="3"/>
      <c r="J28" s="3"/>
      <c r="K28" s="4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6" t="s">
        <v>3</v>
      </c>
      <c r="C29" s="6" t="s">
        <v>4</v>
      </c>
      <c r="D29" s="6" t="s">
        <v>5</v>
      </c>
      <c r="E29" s="6" t="s">
        <v>47</v>
      </c>
      <c r="F29" s="13"/>
      <c r="G29" s="14" t="s">
        <v>6</v>
      </c>
      <c r="H29" s="15" t="s">
        <v>7</v>
      </c>
      <c r="I29" s="14" t="s">
        <v>6</v>
      </c>
      <c r="J29" s="15" t="s">
        <v>7</v>
      </c>
      <c r="K29" s="6" t="s">
        <v>8</v>
      </c>
      <c r="L29" s="6" t="s"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21" t="s">
        <v>48</v>
      </c>
      <c r="C30" s="7" t="s">
        <v>49</v>
      </c>
      <c r="D30" s="8">
        <v>4000000</v>
      </c>
      <c r="E30" s="16">
        <v>1</v>
      </c>
      <c r="F30" s="10" t="s">
        <v>12</v>
      </c>
      <c r="G30" s="9">
        <v>2</v>
      </c>
      <c r="H30" s="10" t="s">
        <v>50</v>
      </c>
      <c r="I30" s="9">
        <v>30</v>
      </c>
      <c r="J30" s="10" t="s">
        <v>51</v>
      </c>
      <c r="K30" s="8">
        <f>D30*E30*G30*I30/100</f>
        <v>2400000</v>
      </c>
      <c r="L30" s="7" t="s">
        <v>52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22"/>
      <c r="C31" s="7" t="s">
        <v>53</v>
      </c>
      <c r="D31" s="8">
        <v>3200000</v>
      </c>
      <c r="E31" s="16">
        <v>1</v>
      </c>
      <c r="F31" s="10" t="s">
        <v>12</v>
      </c>
      <c r="G31" s="9">
        <v>2</v>
      </c>
      <c r="H31" s="10" t="s">
        <v>50</v>
      </c>
      <c r="I31" s="9">
        <v>30</v>
      </c>
      <c r="J31" s="10" t="s">
        <v>51</v>
      </c>
      <c r="K31" s="8">
        <f>D31*E31*G31*I31/100</f>
        <v>1920000</v>
      </c>
      <c r="L31" s="7" t="s">
        <v>54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23"/>
      <c r="C32" s="7" t="s">
        <v>55</v>
      </c>
      <c r="D32" s="8">
        <v>5000000</v>
      </c>
      <c r="E32" s="16">
        <v>1</v>
      </c>
      <c r="F32" s="10" t="s">
        <v>12</v>
      </c>
      <c r="G32" s="9">
        <v>2</v>
      </c>
      <c r="H32" s="10" t="s">
        <v>50</v>
      </c>
      <c r="I32" s="9">
        <v>30</v>
      </c>
      <c r="J32" s="10" t="s">
        <v>51</v>
      </c>
      <c r="K32" s="8">
        <f>D32*E32*G32*I32/100</f>
        <v>3000000</v>
      </c>
      <c r="L32" s="7" t="s">
        <v>56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3"/>
      <c r="C33" s="3"/>
      <c r="D33" s="11"/>
      <c r="E33" s="3"/>
      <c r="F33" s="3"/>
      <c r="G33" s="3"/>
      <c r="H33" s="3"/>
      <c r="I33" s="3"/>
      <c r="J33" s="3"/>
      <c r="K33" s="11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21" t="s">
        <v>57</v>
      </c>
      <c r="C34" s="7" t="s">
        <v>19</v>
      </c>
      <c r="D34" s="8">
        <v>100000</v>
      </c>
      <c r="E34" s="16">
        <v>2</v>
      </c>
      <c r="F34" s="10" t="s">
        <v>12</v>
      </c>
      <c r="G34" s="9">
        <v>1</v>
      </c>
      <c r="H34" s="10" t="s">
        <v>20</v>
      </c>
      <c r="I34" s="9">
        <v>4</v>
      </c>
      <c r="J34" s="10" t="s">
        <v>14</v>
      </c>
      <c r="K34" s="8">
        <f>D34*E34*G34*I34</f>
        <v>800000</v>
      </c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23"/>
      <c r="C35" s="7" t="s">
        <v>21</v>
      </c>
      <c r="D35" s="8">
        <v>30000</v>
      </c>
      <c r="E35" s="16">
        <v>2</v>
      </c>
      <c r="F35" s="10" t="s">
        <v>12</v>
      </c>
      <c r="G35" s="9">
        <v>1</v>
      </c>
      <c r="H35" s="10" t="s">
        <v>20</v>
      </c>
      <c r="I35" s="9">
        <v>4</v>
      </c>
      <c r="J35" s="10" t="s">
        <v>14</v>
      </c>
      <c r="K35" s="8">
        <f>D35*E35*G35*I35</f>
        <v>240000</v>
      </c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</sheetData>
  <mergeCells count="7">
    <mergeCell ref="B2:E2"/>
    <mergeCell ref="B6:B7"/>
    <mergeCell ref="B17:B24"/>
    <mergeCell ref="B13:B14"/>
    <mergeCell ref="B30:B32"/>
    <mergeCell ref="B9:B11"/>
    <mergeCell ref="B34:B35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0"/>
  <sheetViews>
    <sheetView workbookViewId="0">
      <selection activeCell="N26" sqref="N26"/>
    </sheetView>
  </sheetViews>
  <sheetFormatPr defaultColWidth="12.6640625" defaultRowHeight="15.75" customHeight="1"/>
  <sheetData>
    <row r="1" spans="1:12" ht="13.8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7.399999999999999" customHeight="1" thickBot="1">
      <c r="A2" s="1"/>
      <c r="B2" s="24" t="s">
        <v>0</v>
      </c>
      <c r="C2" s="25"/>
      <c r="D2" s="25"/>
      <c r="E2" s="26"/>
      <c r="F2" s="2" t="s">
        <v>1</v>
      </c>
      <c r="G2" s="3"/>
      <c r="H2" s="3"/>
      <c r="I2" s="3"/>
      <c r="J2" s="3"/>
      <c r="K2" s="4"/>
      <c r="L2" s="3"/>
    </row>
    <row r="3" spans="1:12" ht="13.2" customHeight="1">
      <c r="A3" s="1"/>
      <c r="B3" s="3"/>
      <c r="C3" s="3"/>
      <c r="D3" s="4"/>
      <c r="E3" s="3"/>
      <c r="F3" s="3"/>
      <c r="G3" s="3"/>
      <c r="H3" s="3"/>
      <c r="I3" s="3"/>
      <c r="J3" s="3"/>
      <c r="K3" s="4"/>
      <c r="L3" s="3"/>
    </row>
    <row r="4" spans="1:12" ht="13.2" customHeight="1">
      <c r="A4" s="1"/>
      <c r="B4" s="5" t="s">
        <v>2</v>
      </c>
      <c r="C4" s="3"/>
      <c r="D4" s="4"/>
      <c r="E4" s="3"/>
      <c r="F4" s="3"/>
      <c r="G4" s="3"/>
      <c r="H4" s="3"/>
      <c r="I4" s="3"/>
      <c r="J4" s="3"/>
      <c r="K4" s="4"/>
      <c r="L4" s="3"/>
    </row>
    <row r="5" spans="1:12" ht="13.2" customHeight="1">
      <c r="A5" s="1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6</v>
      </c>
      <c r="H5" s="6" t="s">
        <v>7</v>
      </c>
      <c r="I5" s="6" t="s">
        <v>6</v>
      </c>
      <c r="J5" s="6" t="s">
        <v>7</v>
      </c>
      <c r="K5" s="6" t="s">
        <v>8</v>
      </c>
      <c r="L5" s="6" t="s">
        <v>9</v>
      </c>
    </row>
    <row r="6" spans="1:12" ht="13.2" customHeight="1">
      <c r="A6" s="1"/>
      <c r="B6" s="21" t="s">
        <v>10</v>
      </c>
      <c r="C6" s="7" t="s">
        <v>11</v>
      </c>
      <c r="D6" s="8">
        <v>300000</v>
      </c>
      <c r="E6" s="9">
        <v>4</v>
      </c>
      <c r="F6" s="10" t="s">
        <v>12</v>
      </c>
      <c r="G6" s="9">
        <v>15</v>
      </c>
      <c r="H6" s="10" t="s">
        <v>13</v>
      </c>
      <c r="I6" s="9">
        <v>1</v>
      </c>
      <c r="J6" s="10" t="s">
        <v>14</v>
      </c>
      <c r="K6" s="8">
        <f>D6*E6*G6*I6</f>
        <v>18000000</v>
      </c>
      <c r="L6" s="7" t="s">
        <v>15</v>
      </c>
    </row>
    <row r="7" spans="1:12" ht="13.2" customHeight="1">
      <c r="A7" s="1"/>
      <c r="B7" s="23"/>
      <c r="C7" s="7" t="s">
        <v>16</v>
      </c>
      <c r="D7" s="8">
        <v>50000</v>
      </c>
      <c r="E7" s="9">
        <v>4</v>
      </c>
      <c r="F7" s="10" t="s">
        <v>12</v>
      </c>
      <c r="G7" s="9">
        <v>15</v>
      </c>
      <c r="H7" s="10" t="s">
        <v>13</v>
      </c>
      <c r="I7" s="9">
        <v>1</v>
      </c>
      <c r="J7" s="10" t="s">
        <v>14</v>
      </c>
      <c r="K7" s="8">
        <f>D7*E7*G7*I7</f>
        <v>3000000</v>
      </c>
      <c r="L7" s="7" t="s">
        <v>17</v>
      </c>
    </row>
    <row r="8" spans="1:12" ht="13.2" customHeight="1">
      <c r="A8" s="1"/>
      <c r="B8" s="3"/>
      <c r="C8" s="3"/>
      <c r="D8" s="4"/>
      <c r="E8" s="3"/>
      <c r="F8" s="3"/>
      <c r="G8" s="3"/>
      <c r="H8" s="3"/>
      <c r="I8" s="3"/>
      <c r="J8" s="3"/>
      <c r="K8" s="11"/>
      <c r="L8" s="3"/>
    </row>
    <row r="9" spans="1:12" ht="13.2" customHeight="1">
      <c r="A9" s="1"/>
      <c r="B9" s="21" t="s">
        <v>18</v>
      </c>
      <c r="C9" s="7" t="s">
        <v>19</v>
      </c>
      <c r="D9" s="8">
        <v>80000</v>
      </c>
      <c r="E9" s="9">
        <v>4</v>
      </c>
      <c r="F9" s="10" t="s">
        <v>12</v>
      </c>
      <c r="G9" s="9">
        <v>1</v>
      </c>
      <c r="H9" s="10" t="s">
        <v>20</v>
      </c>
      <c r="I9" s="9">
        <v>1</v>
      </c>
      <c r="J9" s="10" t="s">
        <v>14</v>
      </c>
      <c r="K9" s="8">
        <f>D9*E9*G9*I9</f>
        <v>320000</v>
      </c>
      <c r="L9" s="7"/>
    </row>
    <row r="10" spans="1:12" ht="13.2" customHeight="1">
      <c r="A10" s="1"/>
      <c r="B10" s="22"/>
      <c r="C10" s="7" t="s">
        <v>21</v>
      </c>
      <c r="D10" s="8">
        <v>30000</v>
      </c>
      <c r="E10" s="9">
        <v>4</v>
      </c>
      <c r="F10" s="10" t="s">
        <v>12</v>
      </c>
      <c r="G10" s="9">
        <v>1</v>
      </c>
      <c r="H10" s="10" t="s">
        <v>20</v>
      </c>
      <c r="I10" s="9">
        <v>4</v>
      </c>
      <c r="J10" s="10" t="s">
        <v>14</v>
      </c>
      <c r="K10" s="8">
        <f>D10*E10*G10*I10</f>
        <v>480000</v>
      </c>
      <c r="L10" s="7" t="s">
        <v>22</v>
      </c>
    </row>
    <row r="11" spans="1:12" ht="13.2" customHeight="1">
      <c r="A11" s="1"/>
      <c r="B11" s="23"/>
      <c r="C11" s="7" t="s">
        <v>23</v>
      </c>
      <c r="D11" s="8">
        <v>80000</v>
      </c>
      <c r="E11" s="9">
        <v>4</v>
      </c>
      <c r="F11" s="10" t="s">
        <v>12</v>
      </c>
      <c r="G11" s="12">
        <v>1</v>
      </c>
      <c r="H11" s="10" t="s">
        <v>24</v>
      </c>
      <c r="I11" s="9">
        <v>4</v>
      </c>
      <c r="J11" s="10" t="s">
        <v>14</v>
      </c>
      <c r="K11" s="8">
        <f>D11*E11*G11*I11</f>
        <v>1280000</v>
      </c>
      <c r="L11" s="7" t="s">
        <v>25</v>
      </c>
    </row>
    <row r="12" spans="1:12" ht="13.2" customHeight="1">
      <c r="A12" s="1"/>
      <c r="B12" s="3"/>
      <c r="C12" s="3"/>
      <c r="D12" s="4"/>
      <c r="E12" s="3"/>
      <c r="F12" s="3"/>
      <c r="G12" s="3"/>
      <c r="H12" s="3"/>
      <c r="I12" s="3"/>
      <c r="J12" s="3"/>
      <c r="K12" s="11"/>
      <c r="L12" s="3"/>
    </row>
    <row r="13" spans="1:12" ht="13.2" customHeight="1">
      <c r="A13" s="1"/>
      <c r="B13" s="21" t="s">
        <v>26</v>
      </c>
      <c r="C13" s="7" t="s">
        <v>27</v>
      </c>
      <c r="D13" s="8"/>
      <c r="E13" s="9">
        <v>0</v>
      </c>
      <c r="F13" s="10" t="s">
        <v>12</v>
      </c>
      <c r="G13" s="12">
        <v>1</v>
      </c>
      <c r="H13" s="10" t="s">
        <v>24</v>
      </c>
      <c r="I13" s="9">
        <v>0</v>
      </c>
      <c r="J13" s="10" t="s">
        <v>14</v>
      </c>
      <c r="K13" s="8">
        <f>D13*E13*G13*I13</f>
        <v>0</v>
      </c>
      <c r="L13" s="7"/>
    </row>
    <row r="14" spans="1:12" ht="13.2" customHeight="1">
      <c r="A14" s="1"/>
      <c r="B14" s="23"/>
      <c r="C14" s="7" t="s">
        <v>28</v>
      </c>
      <c r="D14" s="8"/>
      <c r="E14" s="9">
        <v>0</v>
      </c>
      <c r="F14" s="10" t="s">
        <v>12</v>
      </c>
      <c r="G14" s="12">
        <v>1</v>
      </c>
      <c r="H14" s="10" t="s">
        <v>24</v>
      </c>
      <c r="I14" s="9">
        <v>0</v>
      </c>
      <c r="J14" s="10" t="s">
        <v>14</v>
      </c>
      <c r="K14" s="8">
        <f>D14*E14*G14*I14</f>
        <v>0</v>
      </c>
      <c r="L14" s="7"/>
    </row>
    <row r="15" spans="1:12" ht="13.2" customHeight="1">
      <c r="A15" s="1"/>
      <c r="B15" s="3"/>
      <c r="C15" s="3"/>
      <c r="D15" s="4"/>
      <c r="E15" s="3"/>
      <c r="F15" s="3"/>
      <c r="G15" s="3"/>
      <c r="H15" s="3"/>
      <c r="I15" s="3"/>
      <c r="J15" s="3"/>
      <c r="K15" s="11"/>
      <c r="L15" s="3"/>
    </row>
    <row r="16" spans="1:12" ht="13.2" customHeight="1">
      <c r="A16" s="1"/>
      <c r="B16" s="3"/>
      <c r="C16" s="3"/>
      <c r="D16" s="4"/>
      <c r="E16" s="3"/>
      <c r="F16" s="3"/>
      <c r="G16" s="3"/>
      <c r="H16" s="3"/>
      <c r="I16" s="3"/>
      <c r="J16" s="3"/>
      <c r="K16" s="11"/>
      <c r="L16" s="3"/>
    </row>
    <row r="17" spans="1:12" ht="13.2" customHeight="1">
      <c r="A17" s="1"/>
      <c r="B17" s="21" t="s">
        <v>29</v>
      </c>
      <c r="C17" s="7" t="s">
        <v>30</v>
      </c>
      <c r="D17" s="8">
        <v>15000</v>
      </c>
      <c r="E17" s="9">
        <v>30</v>
      </c>
      <c r="F17" s="10" t="s">
        <v>12</v>
      </c>
      <c r="G17" s="12">
        <v>1</v>
      </c>
      <c r="H17" s="10" t="s">
        <v>31</v>
      </c>
      <c r="I17" s="9">
        <v>1</v>
      </c>
      <c r="J17" s="10" t="s">
        <v>20</v>
      </c>
      <c r="K17" s="8">
        <f>D17*E17*G17*I17</f>
        <v>450000</v>
      </c>
      <c r="L17" s="7" t="s">
        <v>32</v>
      </c>
    </row>
    <row r="18" spans="1:12" ht="13.2" customHeight="1">
      <c r="A18" s="1"/>
      <c r="B18" s="22"/>
      <c r="C18" s="7" t="s">
        <v>33</v>
      </c>
      <c r="D18" s="8">
        <v>4000</v>
      </c>
      <c r="E18" s="9">
        <v>30</v>
      </c>
      <c r="F18" s="10" t="s">
        <v>12</v>
      </c>
      <c r="G18" s="12">
        <v>60</v>
      </c>
      <c r="H18" s="10" t="s">
        <v>13</v>
      </c>
      <c r="I18" s="9">
        <v>1</v>
      </c>
      <c r="J18" s="10" t="s">
        <v>20</v>
      </c>
      <c r="K18" s="8">
        <f>D18*E18*G18*I18</f>
        <v>7200000</v>
      </c>
      <c r="L18" s="7" t="s">
        <v>34</v>
      </c>
    </row>
    <row r="19" spans="1:12" ht="13.2" customHeight="1">
      <c r="A19" s="1"/>
      <c r="B19" s="22"/>
      <c r="C19" s="7" t="s">
        <v>35</v>
      </c>
      <c r="D19" s="8">
        <v>45000</v>
      </c>
      <c r="E19" s="9">
        <v>30</v>
      </c>
      <c r="F19" s="10" t="s">
        <v>12</v>
      </c>
      <c r="G19" s="12">
        <v>1</v>
      </c>
      <c r="H19" s="10" t="s">
        <v>36</v>
      </c>
      <c r="I19" s="9">
        <v>1</v>
      </c>
      <c r="J19" s="10" t="s">
        <v>31</v>
      </c>
      <c r="K19" s="8">
        <f>D19*E19*G19*I19</f>
        <v>1350000</v>
      </c>
      <c r="L19" s="7" t="s">
        <v>79</v>
      </c>
    </row>
    <row r="20" spans="1:12" ht="13.2" customHeight="1">
      <c r="A20" s="1"/>
      <c r="B20" s="22"/>
      <c r="C20" s="7" t="s">
        <v>37</v>
      </c>
      <c r="D20" s="8">
        <v>0</v>
      </c>
      <c r="E20" s="9">
        <v>0</v>
      </c>
      <c r="F20" s="10" t="s">
        <v>12</v>
      </c>
      <c r="G20" s="9">
        <v>0</v>
      </c>
      <c r="H20" s="10" t="s">
        <v>38</v>
      </c>
      <c r="I20" s="9">
        <v>0</v>
      </c>
      <c r="J20" s="10" t="s">
        <v>14</v>
      </c>
      <c r="K20" s="8">
        <f>D20*E20*G20*I20</f>
        <v>0</v>
      </c>
      <c r="L20" s="7"/>
    </row>
    <row r="21" spans="1:12" ht="13.2" customHeight="1">
      <c r="A21" s="1"/>
      <c r="B21" s="22"/>
      <c r="C21" s="7" t="s">
        <v>39</v>
      </c>
      <c r="D21" s="8">
        <v>10000</v>
      </c>
      <c r="E21" s="9">
        <v>30</v>
      </c>
      <c r="F21" s="10" t="s">
        <v>12</v>
      </c>
      <c r="G21" s="12">
        <v>1</v>
      </c>
      <c r="H21" s="10" t="s">
        <v>24</v>
      </c>
      <c r="I21" s="9">
        <v>1</v>
      </c>
      <c r="J21" s="10" t="s">
        <v>14</v>
      </c>
      <c r="K21" s="8">
        <f>D21*E21*G21*I21</f>
        <v>300000</v>
      </c>
      <c r="L21" s="7"/>
    </row>
    <row r="22" spans="1:12" ht="13.2" customHeight="1">
      <c r="A22" s="1"/>
      <c r="B22" s="22"/>
      <c r="C22" s="7" t="s">
        <v>40</v>
      </c>
      <c r="D22" s="8">
        <v>0</v>
      </c>
      <c r="E22" s="9"/>
      <c r="F22" s="10" t="s">
        <v>12</v>
      </c>
      <c r="G22" s="12"/>
      <c r="H22" s="10" t="s">
        <v>24</v>
      </c>
      <c r="I22" s="9"/>
      <c r="J22" s="10" t="s">
        <v>14</v>
      </c>
      <c r="K22" s="8"/>
      <c r="L22" s="7" t="s">
        <v>41</v>
      </c>
    </row>
    <row r="23" spans="1:12" ht="13.2" customHeight="1">
      <c r="A23" s="1"/>
      <c r="B23" s="22"/>
      <c r="C23" s="7" t="s">
        <v>42</v>
      </c>
      <c r="D23" s="8">
        <v>0</v>
      </c>
      <c r="E23" s="12">
        <v>1</v>
      </c>
      <c r="F23" s="10" t="s">
        <v>24</v>
      </c>
      <c r="G23" s="9">
        <v>0</v>
      </c>
      <c r="H23" s="10" t="s">
        <v>38</v>
      </c>
      <c r="I23" s="9">
        <v>0</v>
      </c>
      <c r="J23" s="10" t="s">
        <v>43</v>
      </c>
      <c r="K23" s="8">
        <f>D23*E23*G23*I23</f>
        <v>0</v>
      </c>
      <c r="L23" s="7"/>
    </row>
    <row r="24" spans="1:12" ht="13.2" customHeight="1">
      <c r="A24" s="1"/>
      <c r="B24" s="23"/>
      <c r="C24" s="7" t="s">
        <v>44</v>
      </c>
      <c r="D24" s="8">
        <v>0</v>
      </c>
      <c r="E24" s="9">
        <v>0</v>
      </c>
      <c r="F24" s="10" t="s">
        <v>12</v>
      </c>
      <c r="G24" s="12">
        <v>1</v>
      </c>
      <c r="H24" s="10" t="s">
        <v>24</v>
      </c>
      <c r="I24" s="9">
        <v>0</v>
      </c>
      <c r="J24" s="10" t="s">
        <v>38</v>
      </c>
      <c r="K24" s="8">
        <f>D24*E24*G24*I24</f>
        <v>0</v>
      </c>
      <c r="L24" s="7" t="s">
        <v>45</v>
      </c>
    </row>
    <row r="25" spans="1:12" ht="13.2" customHeight="1">
      <c r="A25" s="1"/>
      <c r="B25" s="3"/>
      <c r="C25" s="3"/>
      <c r="D25" s="4"/>
      <c r="E25" s="3"/>
      <c r="F25" s="3"/>
      <c r="G25" s="3"/>
      <c r="H25" s="3"/>
      <c r="I25" s="3"/>
      <c r="J25" s="3"/>
      <c r="K25" s="1"/>
      <c r="L25" s="3"/>
    </row>
    <row r="26" spans="1:12" ht="13.2" customHeight="1">
      <c r="A26" s="1"/>
      <c r="B26" s="3"/>
      <c r="C26" s="3"/>
      <c r="D26" s="4"/>
      <c r="E26" s="3"/>
      <c r="F26" s="3"/>
      <c r="G26" s="3"/>
      <c r="H26" s="3"/>
      <c r="I26" s="3"/>
      <c r="J26" s="3"/>
      <c r="K26" s="4"/>
      <c r="L26" s="3"/>
    </row>
    <row r="27" spans="1:12" ht="13.2" customHeight="1">
      <c r="A27" s="1"/>
      <c r="B27" s="3"/>
      <c r="C27" s="3"/>
      <c r="D27" s="4"/>
      <c r="E27" s="3"/>
      <c r="F27" s="3"/>
      <c r="G27" s="3"/>
      <c r="H27" s="3"/>
      <c r="I27" s="3"/>
      <c r="J27" s="3"/>
      <c r="K27" s="4"/>
      <c r="L27" s="3"/>
    </row>
    <row r="28" spans="1:12" ht="13.2" customHeight="1">
      <c r="A28" s="1"/>
      <c r="B28" s="5" t="s">
        <v>46</v>
      </c>
      <c r="C28" s="3"/>
      <c r="D28" s="4"/>
      <c r="E28" s="3"/>
      <c r="F28" s="3"/>
      <c r="G28" s="3"/>
      <c r="H28" s="3"/>
      <c r="I28" s="3"/>
      <c r="J28" s="3"/>
      <c r="K28" s="4"/>
      <c r="L28" s="3"/>
    </row>
    <row r="29" spans="1:12" ht="13.2" customHeight="1">
      <c r="A29" s="1"/>
      <c r="B29" s="6" t="s">
        <v>3</v>
      </c>
      <c r="C29" s="6" t="s">
        <v>4</v>
      </c>
      <c r="D29" s="6" t="s">
        <v>5</v>
      </c>
      <c r="E29" s="6" t="s">
        <v>47</v>
      </c>
      <c r="F29" s="13"/>
      <c r="G29" s="14" t="s">
        <v>6</v>
      </c>
      <c r="H29" s="15" t="s">
        <v>7</v>
      </c>
      <c r="I29" s="14" t="s">
        <v>6</v>
      </c>
      <c r="J29" s="15" t="s">
        <v>7</v>
      </c>
      <c r="K29" s="6" t="s">
        <v>8</v>
      </c>
      <c r="L29" s="6" t="s">
        <v>9</v>
      </c>
    </row>
    <row r="30" spans="1:12" ht="13.2" customHeight="1">
      <c r="A30" s="1"/>
      <c r="B30" s="21" t="s">
        <v>48</v>
      </c>
      <c r="C30" s="7" t="s">
        <v>49</v>
      </c>
      <c r="D30" s="8">
        <v>4000000</v>
      </c>
      <c r="E30" s="16">
        <v>1</v>
      </c>
      <c r="F30" s="10" t="s">
        <v>12</v>
      </c>
      <c r="G30" s="9">
        <v>2</v>
      </c>
      <c r="H30" s="10" t="s">
        <v>50</v>
      </c>
      <c r="I30" s="9">
        <v>30</v>
      </c>
      <c r="J30" s="10" t="s">
        <v>51</v>
      </c>
      <c r="K30" s="8">
        <f>D30*E30*G30*I30/100</f>
        <v>2400000</v>
      </c>
      <c r="L30" s="7" t="s">
        <v>52</v>
      </c>
    </row>
    <row r="31" spans="1:12" ht="13.2" customHeight="1">
      <c r="A31" s="1"/>
      <c r="B31" s="22"/>
      <c r="C31" s="7" t="s">
        <v>53</v>
      </c>
      <c r="D31" s="8">
        <v>3200000</v>
      </c>
      <c r="E31" s="16">
        <v>1</v>
      </c>
      <c r="F31" s="10" t="s">
        <v>12</v>
      </c>
      <c r="G31" s="9">
        <v>2</v>
      </c>
      <c r="H31" s="10" t="s">
        <v>50</v>
      </c>
      <c r="I31" s="9">
        <v>30</v>
      </c>
      <c r="J31" s="10" t="s">
        <v>51</v>
      </c>
      <c r="K31" s="8">
        <f>D31*E31*G31*I31/100</f>
        <v>1920000</v>
      </c>
      <c r="L31" s="7" t="s">
        <v>54</v>
      </c>
    </row>
    <row r="32" spans="1:12" ht="13.2" customHeight="1">
      <c r="A32" s="1"/>
      <c r="B32" s="23"/>
      <c r="C32" s="7" t="s">
        <v>55</v>
      </c>
      <c r="D32" s="8">
        <v>5000000</v>
      </c>
      <c r="E32" s="16">
        <v>1</v>
      </c>
      <c r="F32" s="10" t="s">
        <v>12</v>
      </c>
      <c r="G32" s="9">
        <v>2</v>
      </c>
      <c r="H32" s="10" t="s">
        <v>50</v>
      </c>
      <c r="I32" s="9">
        <v>30</v>
      </c>
      <c r="J32" s="10" t="s">
        <v>51</v>
      </c>
      <c r="K32" s="8">
        <f>D32*E32*G32*I32/100</f>
        <v>3000000</v>
      </c>
      <c r="L32" s="7" t="s">
        <v>56</v>
      </c>
    </row>
    <row r="33" spans="1:12" ht="13.2" customHeight="1">
      <c r="A33" s="1"/>
      <c r="B33" s="3"/>
      <c r="C33" s="3"/>
      <c r="D33" s="11"/>
      <c r="E33" s="3"/>
      <c r="F33" s="3"/>
      <c r="G33" s="3"/>
      <c r="H33" s="3"/>
      <c r="I33" s="3"/>
      <c r="J33" s="3"/>
      <c r="K33" s="11"/>
      <c r="L33" s="3"/>
    </row>
    <row r="34" spans="1:12" ht="13.2" customHeight="1">
      <c r="A34" s="1"/>
      <c r="B34" s="21" t="s">
        <v>57</v>
      </c>
      <c r="C34" s="7" t="s">
        <v>19</v>
      </c>
      <c r="D34" s="8">
        <v>100000</v>
      </c>
      <c r="E34" s="16">
        <v>2</v>
      </c>
      <c r="F34" s="10" t="s">
        <v>12</v>
      </c>
      <c r="G34" s="9">
        <v>1</v>
      </c>
      <c r="H34" s="10" t="s">
        <v>20</v>
      </c>
      <c r="I34" s="9">
        <v>4</v>
      </c>
      <c r="J34" s="10" t="s">
        <v>14</v>
      </c>
      <c r="K34" s="8">
        <f>D34*E34*G34*I34</f>
        <v>800000</v>
      </c>
      <c r="L34" s="7"/>
    </row>
    <row r="35" spans="1:12" ht="13.2" customHeight="1">
      <c r="A35" s="1"/>
      <c r="B35" s="23"/>
      <c r="C35" s="7" t="s">
        <v>21</v>
      </c>
      <c r="D35" s="8">
        <v>30000</v>
      </c>
      <c r="E35" s="16">
        <v>2</v>
      </c>
      <c r="F35" s="10" t="s">
        <v>12</v>
      </c>
      <c r="G35" s="9">
        <v>1</v>
      </c>
      <c r="H35" s="10" t="s">
        <v>20</v>
      </c>
      <c r="I35" s="9">
        <v>4</v>
      </c>
      <c r="J35" s="10" t="s">
        <v>14</v>
      </c>
      <c r="K35" s="8">
        <f>D35*E35*G35*I35</f>
        <v>240000</v>
      </c>
      <c r="L35" s="7"/>
    </row>
    <row r="36" spans="1:12" ht="13.2" customHeight="1"/>
    <row r="37" spans="1:12" ht="13.2"/>
    <row r="38" spans="1:12" ht="13.2"/>
    <row r="39" spans="1:12" ht="13.2"/>
    <row r="40" spans="1:12" ht="13.2"/>
  </sheetData>
  <mergeCells count="7">
    <mergeCell ref="B34:B35"/>
    <mergeCell ref="B6:B7"/>
    <mergeCell ref="B17:B24"/>
    <mergeCell ref="B13:B14"/>
    <mergeCell ref="B30:B32"/>
    <mergeCell ref="B9:B11"/>
    <mergeCell ref="B2:E2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25"/>
  <sheetViews>
    <sheetView tabSelected="1" workbookViewId="0">
      <selection activeCell="N21" sqref="N21"/>
    </sheetView>
  </sheetViews>
  <sheetFormatPr defaultColWidth="12.6640625" defaultRowHeight="15.75" customHeight="1"/>
  <cols>
    <col min="1" max="1" width="3.109375" customWidth="1"/>
    <col min="3" max="3" width="17.77734375" customWidth="1"/>
    <col min="6" max="6" width="4.44140625" customWidth="1"/>
    <col min="8" max="8" width="4.44140625" customWidth="1"/>
    <col min="10" max="10" width="4.44140625" customWidth="1"/>
    <col min="12" max="12" width="43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24" t="s">
        <v>0</v>
      </c>
      <c r="C2" s="25"/>
      <c r="D2" s="25"/>
      <c r="E2" s="26"/>
      <c r="F2" s="2" t="s">
        <v>1</v>
      </c>
      <c r="G2" s="3"/>
      <c r="H2" s="3"/>
      <c r="I2" s="3"/>
      <c r="J2" s="3"/>
      <c r="K2" s="4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3"/>
      <c r="C3" s="3"/>
      <c r="D3" s="4"/>
      <c r="E3" s="3"/>
      <c r="F3" s="3"/>
      <c r="G3" s="3"/>
      <c r="H3" s="3"/>
      <c r="I3" s="3"/>
      <c r="J3" s="3"/>
      <c r="K3" s="4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5" t="s">
        <v>2</v>
      </c>
      <c r="C4" s="3"/>
      <c r="D4" s="4"/>
      <c r="E4" s="3"/>
      <c r="F4" s="3"/>
      <c r="G4" s="3"/>
      <c r="H4" s="3"/>
      <c r="I4" s="3"/>
      <c r="J4" s="3"/>
      <c r="K4" s="4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6</v>
      </c>
      <c r="H5" s="6" t="s">
        <v>7</v>
      </c>
      <c r="I5" s="6" t="s">
        <v>6</v>
      </c>
      <c r="J5" s="6" t="s">
        <v>7</v>
      </c>
      <c r="K5" s="6" t="s">
        <v>8</v>
      </c>
      <c r="L5" s="6" t="s">
        <v>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21" t="s">
        <v>10</v>
      </c>
      <c r="C6" s="7" t="s">
        <v>11</v>
      </c>
      <c r="D6" s="8">
        <v>300000</v>
      </c>
      <c r="E6" s="9">
        <v>4</v>
      </c>
      <c r="F6" s="10" t="s">
        <v>12</v>
      </c>
      <c r="G6" s="9">
        <v>15</v>
      </c>
      <c r="H6" s="10" t="s">
        <v>13</v>
      </c>
      <c r="I6" s="9">
        <v>1</v>
      </c>
      <c r="J6" s="10" t="s">
        <v>14</v>
      </c>
      <c r="K6" s="8">
        <f>D6*E6*G6*I6</f>
        <v>18000000</v>
      </c>
      <c r="L6" s="7" t="s">
        <v>15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23"/>
      <c r="C7" s="7" t="s">
        <v>16</v>
      </c>
      <c r="D7" s="8">
        <v>50000</v>
      </c>
      <c r="E7" s="9">
        <v>4</v>
      </c>
      <c r="F7" s="10" t="s">
        <v>12</v>
      </c>
      <c r="G7" s="9">
        <v>15</v>
      </c>
      <c r="H7" s="10" t="s">
        <v>13</v>
      </c>
      <c r="I7" s="9">
        <v>1</v>
      </c>
      <c r="J7" s="10" t="s">
        <v>14</v>
      </c>
      <c r="K7" s="8">
        <f>D7*E7*G7*I7</f>
        <v>3000000</v>
      </c>
      <c r="L7" s="7" t="s">
        <v>17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3"/>
      <c r="C8" s="3"/>
      <c r="D8" s="4"/>
      <c r="E8" s="3"/>
      <c r="F8" s="3"/>
      <c r="G8" s="3"/>
      <c r="H8" s="3"/>
      <c r="I8" s="3"/>
      <c r="J8" s="3"/>
      <c r="K8" s="11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21" t="s">
        <v>18</v>
      </c>
      <c r="C9" s="7" t="s">
        <v>19</v>
      </c>
      <c r="D9" s="8">
        <v>80000</v>
      </c>
      <c r="E9" s="9">
        <v>4</v>
      </c>
      <c r="F9" s="10" t="s">
        <v>12</v>
      </c>
      <c r="G9" s="9">
        <v>1</v>
      </c>
      <c r="H9" s="10" t="s">
        <v>20</v>
      </c>
      <c r="I9" s="9">
        <v>1</v>
      </c>
      <c r="J9" s="10" t="s">
        <v>14</v>
      </c>
      <c r="K9" s="8">
        <f>D9*E9*G9*I9</f>
        <v>320000</v>
      </c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22"/>
      <c r="C10" s="7" t="s">
        <v>21</v>
      </c>
      <c r="D10" s="8">
        <v>30000</v>
      </c>
      <c r="E10" s="9">
        <v>4</v>
      </c>
      <c r="F10" s="10" t="s">
        <v>12</v>
      </c>
      <c r="G10" s="9">
        <v>1</v>
      </c>
      <c r="H10" s="10" t="s">
        <v>20</v>
      </c>
      <c r="I10" s="9">
        <v>4</v>
      </c>
      <c r="J10" s="10" t="s">
        <v>14</v>
      </c>
      <c r="K10" s="8">
        <f>D10*E10*G10*I10</f>
        <v>480000</v>
      </c>
      <c r="L10" s="7" t="s">
        <v>22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3"/>
      <c r="C11" s="7" t="s">
        <v>23</v>
      </c>
      <c r="D11" s="8">
        <v>80000</v>
      </c>
      <c r="E11" s="9">
        <v>4</v>
      </c>
      <c r="F11" s="10" t="s">
        <v>12</v>
      </c>
      <c r="G11" s="12">
        <v>1</v>
      </c>
      <c r="H11" s="10" t="s">
        <v>24</v>
      </c>
      <c r="I11" s="9">
        <v>4</v>
      </c>
      <c r="J11" s="10" t="s">
        <v>14</v>
      </c>
      <c r="K11" s="8">
        <f>D11*E11*G11*I11</f>
        <v>1280000</v>
      </c>
      <c r="L11" s="7" t="s">
        <v>25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3"/>
      <c r="C12" s="3"/>
      <c r="D12" s="4"/>
      <c r="E12" s="3"/>
      <c r="F12" s="3"/>
      <c r="G12" s="3"/>
      <c r="H12" s="3"/>
      <c r="I12" s="3"/>
      <c r="J12" s="3"/>
      <c r="K12" s="11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1" t="s">
        <v>26</v>
      </c>
      <c r="C13" s="7" t="s">
        <v>27</v>
      </c>
      <c r="D13" s="8"/>
      <c r="E13" s="9">
        <v>0</v>
      </c>
      <c r="F13" s="10" t="s">
        <v>12</v>
      </c>
      <c r="G13" s="12">
        <v>1</v>
      </c>
      <c r="H13" s="10" t="s">
        <v>24</v>
      </c>
      <c r="I13" s="9">
        <v>0</v>
      </c>
      <c r="J13" s="10" t="s">
        <v>14</v>
      </c>
      <c r="K13" s="8">
        <f>D13*E13*G13*I13</f>
        <v>0</v>
      </c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23"/>
      <c r="C14" s="7" t="s">
        <v>28</v>
      </c>
      <c r="D14" s="8"/>
      <c r="E14" s="9">
        <v>0</v>
      </c>
      <c r="F14" s="10" t="s">
        <v>12</v>
      </c>
      <c r="G14" s="12">
        <v>1</v>
      </c>
      <c r="H14" s="10" t="s">
        <v>24</v>
      </c>
      <c r="I14" s="9">
        <v>0</v>
      </c>
      <c r="J14" s="10" t="s">
        <v>14</v>
      </c>
      <c r="K14" s="8">
        <f>D14*E14*G14*I14</f>
        <v>0</v>
      </c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3"/>
      <c r="C15" s="3"/>
      <c r="D15" s="4"/>
      <c r="E15" s="3"/>
      <c r="F15" s="3"/>
      <c r="G15" s="3"/>
      <c r="H15" s="3"/>
      <c r="I15" s="3"/>
      <c r="J15" s="3"/>
      <c r="K15" s="11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3"/>
      <c r="C16" s="3"/>
      <c r="D16" s="4"/>
      <c r="E16" s="3"/>
      <c r="F16" s="3"/>
      <c r="G16" s="3"/>
      <c r="H16" s="3"/>
      <c r="I16" s="3"/>
      <c r="J16" s="3"/>
      <c r="K16" s="11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21" t="s">
        <v>29</v>
      </c>
      <c r="C17" s="7" t="s">
        <v>30</v>
      </c>
      <c r="D17" s="8">
        <v>60000</v>
      </c>
      <c r="E17" s="9">
        <v>30</v>
      </c>
      <c r="F17" s="10" t="s">
        <v>12</v>
      </c>
      <c r="G17" s="12">
        <v>1</v>
      </c>
      <c r="H17" s="10" t="s">
        <v>31</v>
      </c>
      <c r="I17" s="9">
        <v>1</v>
      </c>
      <c r="J17" s="10" t="s">
        <v>20</v>
      </c>
      <c r="K17" s="8">
        <f>D17*E17*G17*I17</f>
        <v>1800000</v>
      </c>
      <c r="L17" s="7" t="s">
        <v>60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22"/>
      <c r="C18" s="7" t="s">
        <v>33</v>
      </c>
      <c r="D18" s="8">
        <v>2500</v>
      </c>
      <c r="E18" s="9">
        <v>30</v>
      </c>
      <c r="F18" s="10" t="s">
        <v>12</v>
      </c>
      <c r="G18" s="12">
        <v>60</v>
      </c>
      <c r="H18" s="10" t="s">
        <v>13</v>
      </c>
      <c r="I18" s="9">
        <v>1</v>
      </c>
      <c r="J18" s="10" t="s">
        <v>20</v>
      </c>
      <c r="K18" s="8">
        <f>D18*E18*G18*I18</f>
        <v>4500000</v>
      </c>
      <c r="L18" s="7" t="s">
        <v>61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22"/>
      <c r="C19" s="7" t="s">
        <v>35</v>
      </c>
      <c r="D19" s="8">
        <v>45000</v>
      </c>
      <c r="E19" s="9">
        <v>30</v>
      </c>
      <c r="F19" s="10" t="s">
        <v>12</v>
      </c>
      <c r="G19" s="12">
        <v>1</v>
      </c>
      <c r="H19" s="10" t="s">
        <v>36</v>
      </c>
      <c r="I19" s="9">
        <v>1</v>
      </c>
      <c r="J19" s="10" t="s">
        <v>31</v>
      </c>
      <c r="K19" s="8">
        <f>D19*E19*G19*I19</f>
        <v>1350000</v>
      </c>
      <c r="L19" s="7" t="s">
        <v>79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22"/>
      <c r="C20" s="7" t="s">
        <v>37</v>
      </c>
      <c r="D20" s="8">
        <v>0</v>
      </c>
      <c r="E20" s="9">
        <v>0</v>
      </c>
      <c r="F20" s="10" t="s">
        <v>12</v>
      </c>
      <c r="G20" s="9">
        <v>0</v>
      </c>
      <c r="H20" s="10" t="s">
        <v>38</v>
      </c>
      <c r="I20" s="9">
        <v>0</v>
      </c>
      <c r="J20" s="10" t="s">
        <v>14</v>
      </c>
      <c r="K20" s="8">
        <f>D20*E20*G20*I20</f>
        <v>0</v>
      </c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22"/>
      <c r="C21" s="7" t="s">
        <v>39</v>
      </c>
      <c r="D21" s="8">
        <v>10000</v>
      </c>
      <c r="E21" s="9">
        <v>30</v>
      </c>
      <c r="F21" s="10" t="s">
        <v>12</v>
      </c>
      <c r="G21" s="12">
        <v>1</v>
      </c>
      <c r="H21" s="10" t="s">
        <v>24</v>
      </c>
      <c r="I21" s="9">
        <v>1</v>
      </c>
      <c r="J21" s="10" t="s">
        <v>14</v>
      </c>
      <c r="K21" s="8">
        <f>D21*E21*G21*I21</f>
        <v>300000</v>
      </c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22"/>
      <c r="C22" s="7" t="s">
        <v>40</v>
      </c>
      <c r="D22" s="8">
        <v>0</v>
      </c>
      <c r="E22" s="9"/>
      <c r="F22" s="10" t="s">
        <v>12</v>
      </c>
      <c r="G22" s="12"/>
      <c r="H22" s="10" t="s">
        <v>24</v>
      </c>
      <c r="I22" s="9"/>
      <c r="J22" s="10" t="s">
        <v>14</v>
      </c>
      <c r="K22" s="8"/>
      <c r="L22" s="7" t="s">
        <v>41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22"/>
      <c r="C23" s="7" t="s">
        <v>42</v>
      </c>
      <c r="D23" s="8">
        <v>0</v>
      </c>
      <c r="E23" s="12">
        <v>1</v>
      </c>
      <c r="F23" s="10" t="s">
        <v>24</v>
      </c>
      <c r="G23" s="9">
        <v>0</v>
      </c>
      <c r="H23" s="10" t="s">
        <v>38</v>
      </c>
      <c r="I23" s="9">
        <v>0</v>
      </c>
      <c r="J23" s="10" t="s">
        <v>43</v>
      </c>
      <c r="K23" s="8">
        <f>D23*E23*G23*I23</f>
        <v>0</v>
      </c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23"/>
      <c r="C24" s="7" t="s">
        <v>44</v>
      </c>
      <c r="D24" s="8">
        <v>0</v>
      </c>
      <c r="E24" s="9">
        <v>0</v>
      </c>
      <c r="F24" s="10" t="s">
        <v>12</v>
      </c>
      <c r="G24" s="12">
        <v>1</v>
      </c>
      <c r="H24" s="10" t="s">
        <v>24</v>
      </c>
      <c r="I24" s="9">
        <v>0</v>
      </c>
      <c r="J24" s="10" t="s">
        <v>38</v>
      </c>
      <c r="K24" s="8">
        <f>D24*E24*G24*I24</f>
        <v>0</v>
      </c>
      <c r="L24" s="7" t="s">
        <v>45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3"/>
      <c r="C25" s="3"/>
      <c r="D25" s="4"/>
      <c r="E25" s="3"/>
      <c r="F25" s="3"/>
      <c r="G25" s="3"/>
      <c r="H25" s="3"/>
      <c r="I25" s="3"/>
      <c r="J25" s="3"/>
      <c r="K25" s="1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3"/>
      <c r="C26" s="3"/>
      <c r="D26" s="4"/>
      <c r="E26" s="3"/>
      <c r="F26" s="3"/>
      <c r="G26" s="3"/>
      <c r="H26" s="3"/>
      <c r="I26" s="3"/>
      <c r="J26" s="3"/>
      <c r="K26" s="4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3"/>
      <c r="C27" s="3"/>
      <c r="D27" s="4"/>
      <c r="E27" s="3"/>
      <c r="F27" s="3"/>
      <c r="G27" s="3"/>
      <c r="H27" s="3"/>
      <c r="I27" s="3"/>
      <c r="J27" s="3"/>
      <c r="K27" s="4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5" t="s">
        <v>46</v>
      </c>
      <c r="C28" s="3"/>
      <c r="D28" s="4"/>
      <c r="E28" s="3"/>
      <c r="F28" s="3"/>
      <c r="G28" s="3"/>
      <c r="H28" s="3"/>
      <c r="I28" s="3"/>
      <c r="J28" s="3"/>
      <c r="K28" s="4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6" t="s">
        <v>3</v>
      </c>
      <c r="C29" s="6" t="s">
        <v>4</v>
      </c>
      <c r="D29" s="6" t="s">
        <v>5</v>
      </c>
      <c r="E29" s="6" t="s">
        <v>47</v>
      </c>
      <c r="F29" s="13"/>
      <c r="G29" s="14" t="s">
        <v>6</v>
      </c>
      <c r="H29" s="15" t="s">
        <v>7</v>
      </c>
      <c r="I29" s="14" t="s">
        <v>6</v>
      </c>
      <c r="J29" s="15" t="s">
        <v>7</v>
      </c>
      <c r="K29" s="6" t="s">
        <v>8</v>
      </c>
      <c r="L29" s="6" t="s"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21" t="s">
        <v>48</v>
      </c>
      <c r="C30" s="7" t="s">
        <v>49</v>
      </c>
      <c r="D30" s="8">
        <v>4000000</v>
      </c>
      <c r="E30" s="16">
        <v>1</v>
      </c>
      <c r="F30" s="10" t="s">
        <v>12</v>
      </c>
      <c r="G30" s="9">
        <v>2</v>
      </c>
      <c r="H30" s="10" t="s">
        <v>50</v>
      </c>
      <c r="I30" s="9">
        <v>30</v>
      </c>
      <c r="J30" s="10" t="s">
        <v>51</v>
      </c>
      <c r="K30" s="8">
        <f>D30*E30*G30*I30/100</f>
        <v>2400000</v>
      </c>
      <c r="L30" s="7" t="s">
        <v>52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22"/>
      <c r="C31" s="7" t="s">
        <v>53</v>
      </c>
      <c r="D31" s="8">
        <v>3200000</v>
      </c>
      <c r="E31" s="16">
        <v>1</v>
      </c>
      <c r="F31" s="10" t="s">
        <v>12</v>
      </c>
      <c r="G31" s="9">
        <v>2</v>
      </c>
      <c r="H31" s="10" t="s">
        <v>50</v>
      </c>
      <c r="I31" s="9">
        <v>30</v>
      </c>
      <c r="J31" s="10" t="s">
        <v>51</v>
      </c>
      <c r="K31" s="8">
        <f>D31*E31*G31*I31/100</f>
        <v>1920000</v>
      </c>
      <c r="L31" s="7" t="s">
        <v>54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23"/>
      <c r="C32" s="7" t="s">
        <v>55</v>
      </c>
      <c r="D32" s="8">
        <v>5000000</v>
      </c>
      <c r="E32" s="16">
        <v>1</v>
      </c>
      <c r="F32" s="10" t="s">
        <v>12</v>
      </c>
      <c r="G32" s="9">
        <v>2</v>
      </c>
      <c r="H32" s="10" t="s">
        <v>50</v>
      </c>
      <c r="I32" s="9">
        <v>30</v>
      </c>
      <c r="J32" s="10" t="s">
        <v>51</v>
      </c>
      <c r="K32" s="8">
        <f>D32*E32*G32*I32/100</f>
        <v>3000000</v>
      </c>
      <c r="L32" s="7" t="s">
        <v>56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3"/>
      <c r="C33" s="3"/>
      <c r="D33" s="11"/>
      <c r="E33" s="3"/>
      <c r="F33" s="3"/>
      <c r="G33" s="3"/>
      <c r="H33" s="3"/>
      <c r="I33" s="3"/>
      <c r="J33" s="3"/>
      <c r="K33" s="11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21" t="s">
        <v>57</v>
      </c>
      <c r="C34" s="7" t="s">
        <v>19</v>
      </c>
      <c r="D34" s="8">
        <v>100000</v>
      </c>
      <c r="E34" s="16">
        <v>2</v>
      </c>
      <c r="F34" s="10" t="s">
        <v>12</v>
      </c>
      <c r="G34" s="9">
        <v>1</v>
      </c>
      <c r="H34" s="10" t="s">
        <v>20</v>
      </c>
      <c r="I34" s="9">
        <v>4</v>
      </c>
      <c r="J34" s="10" t="s">
        <v>14</v>
      </c>
      <c r="K34" s="8">
        <f>D34*E34*G34*I34</f>
        <v>800000</v>
      </c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23"/>
      <c r="C35" s="7" t="s">
        <v>21</v>
      </c>
      <c r="D35" s="8">
        <v>30000</v>
      </c>
      <c r="E35" s="16">
        <v>2</v>
      </c>
      <c r="F35" s="10" t="s">
        <v>12</v>
      </c>
      <c r="G35" s="9">
        <v>1</v>
      </c>
      <c r="H35" s="10" t="s">
        <v>20</v>
      </c>
      <c r="I35" s="9">
        <v>4</v>
      </c>
      <c r="J35" s="10" t="s">
        <v>14</v>
      </c>
      <c r="K35" s="8">
        <f>D35*E35*G35*I35</f>
        <v>240000</v>
      </c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3"/>
      <c r="C36" s="3"/>
      <c r="D36" s="11"/>
      <c r="E36" s="3"/>
      <c r="F36" s="3"/>
      <c r="G36" s="3"/>
      <c r="H36" s="3"/>
      <c r="I36" s="3"/>
      <c r="J36" s="3"/>
      <c r="K36" s="11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</sheetData>
  <mergeCells count="7">
    <mergeCell ref="B2:E2"/>
    <mergeCell ref="B6:B7"/>
    <mergeCell ref="B17:B24"/>
    <mergeCell ref="B13:B14"/>
    <mergeCell ref="B30:B32"/>
    <mergeCell ref="B9:B11"/>
    <mergeCell ref="B34:B35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D14"/>
  <sheetViews>
    <sheetView workbookViewId="0"/>
  </sheetViews>
  <sheetFormatPr defaultColWidth="12.6640625" defaultRowHeight="15.75" customHeight="1"/>
  <cols>
    <col min="3" max="3" width="16.77734375" customWidth="1"/>
    <col min="5" max="5" width="26.21875" customWidth="1"/>
  </cols>
  <sheetData>
    <row r="2" spans="1:4">
      <c r="A2" s="17" t="s">
        <v>62</v>
      </c>
    </row>
    <row r="4" spans="1:4">
      <c r="A4" s="18" t="s">
        <v>63</v>
      </c>
    </row>
    <row r="5" spans="1:4">
      <c r="A5" s="19" t="s">
        <v>64</v>
      </c>
      <c r="B5" s="19" t="s">
        <v>13</v>
      </c>
      <c r="C5" s="19" t="s">
        <v>65</v>
      </c>
      <c r="D5" s="19" t="s">
        <v>9</v>
      </c>
    </row>
    <row r="6" spans="1:4">
      <c r="A6" s="20" t="s">
        <v>66</v>
      </c>
      <c r="B6" s="19" t="s">
        <v>67</v>
      </c>
      <c r="C6" s="20" t="s">
        <v>68</v>
      </c>
      <c r="D6" s="19" t="s">
        <v>69</v>
      </c>
    </row>
    <row r="7" spans="1:4">
      <c r="A7" s="20" t="s">
        <v>70</v>
      </c>
      <c r="B7" s="19" t="s">
        <v>71</v>
      </c>
      <c r="C7" s="19" t="s">
        <v>72</v>
      </c>
      <c r="D7" s="19"/>
    </row>
    <row r="8" spans="1:4">
      <c r="A8" s="20" t="s">
        <v>73</v>
      </c>
      <c r="B8" s="19" t="s">
        <v>74</v>
      </c>
      <c r="C8" s="20" t="s">
        <v>75</v>
      </c>
      <c r="D8" s="19" t="s">
        <v>69</v>
      </c>
    </row>
    <row r="10" spans="1:4">
      <c r="A10" s="18" t="s">
        <v>76</v>
      </c>
    </row>
    <row r="11" spans="1:4">
      <c r="A11" s="19" t="s">
        <v>64</v>
      </c>
      <c r="B11" s="19" t="s">
        <v>13</v>
      </c>
      <c r="C11" s="19" t="s">
        <v>65</v>
      </c>
      <c r="D11" s="19" t="s">
        <v>9</v>
      </c>
    </row>
    <row r="12" spans="1:4">
      <c r="A12" s="20" t="s">
        <v>66</v>
      </c>
      <c r="B12" s="19" t="s">
        <v>67</v>
      </c>
      <c r="C12" s="20" t="s">
        <v>77</v>
      </c>
      <c r="D12" s="19" t="s">
        <v>69</v>
      </c>
    </row>
    <row r="13" spans="1:4">
      <c r="A13" s="20" t="s">
        <v>70</v>
      </c>
      <c r="B13" s="19" t="s">
        <v>71</v>
      </c>
      <c r="C13" s="19" t="s">
        <v>72</v>
      </c>
      <c r="D13" s="19"/>
    </row>
    <row r="14" spans="1:4">
      <c r="A14" s="20" t="s">
        <v>73</v>
      </c>
      <c r="B14" s="19" t="s">
        <v>74</v>
      </c>
      <c r="C14" s="20" t="s">
        <v>78</v>
      </c>
      <c r="D14" s="19" t="s">
        <v>69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ND1</vt:lpstr>
      <vt:lpstr>ND2</vt:lpstr>
      <vt:lpstr>ND5</vt:lpstr>
      <vt:lpstr>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2026-03-26T11:08:11Z</dcterms:created>
  <dcterms:modified xsi:type="dcterms:W3CDTF">2026-03-26T11:23:01Z</dcterms:modified>
</cp:coreProperties>
</file>