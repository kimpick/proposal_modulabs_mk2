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3A4BA192-BCB5-44B3-A683-46B77ED920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최종 견적서_YYMMDD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" i="3" l="1"/>
  <c r="E15" i="3"/>
  <c r="G14" i="3"/>
  <c r="G13" i="3"/>
  <c r="G12" i="3"/>
  <c r="G16" i="3" s="1"/>
  <c r="B10" i="3"/>
  <c r="G17" i="3" l="1"/>
  <c r="G18" i="3"/>
  <c r="G10" i="3" s="1"/>
</calcChain>
</file>

<file path=xl/sharedStrings.xml><?xml version="1.0" encoding="utf-8"?>
<sst xmlns="http://schemas.openxmlformats.org/spreadsheetml/2006/main" count="47" uniqueCount="46">
  <si>
    <t>비고</t>
  </si>
  <si>
    <t>구분</t>
  </si>
  <si>
    <r>
      <rPr>
        <b/>
        <sz val="10"/>
        <color rgb="FF242A30"/>
        <rFont val="Noto Sans KR"/>
        <family val="3"/>
        <charset val="129"/>
      </rPr>
      <t xml:space="preserve">
가이드
</t>
    </r>
    <r>
      <rPr>
        <sz val="10"/>
        <color rgb="FF242A30"/>
        <rFont val="Noto Sans KR"/>
        <family val="3"/>
        <charset val="129"/>
      </rPr>
      <t xml:space="preserve">- 자동화 작업: </t>
    </r>
    <r>
      <rPr>
        <b/>
        <sz val="10"/>
        <color rgb="FF242A30"/>
        <rFont val="Noto Sans KR"/>
        <family val="3"/>
        <charset val="129"/>
      </rPr>
      <t>[자동 생성] 견적서 발행(PDF 저장)</t>
    </r>
    <r>
      <rPr>
        <sz val="10"/>
        <color rgb="FF242A30"/>
        <rFont val="Noto Sans KR"/>
        <family val="3"/>
        <charset val="129"/>
      </rPr>
      <t xml:space="preserve">
ㄴ 탭 명의 </t>
    </r>
    <r>
      <rPr>
        <sz val="10"/>
        <color rgb="FFFF0000"/>
        <rFont val="Noto Sans KR"/>
        <family val="3"/>
        <charset val="129"/>
      </rPr>
      <t>날짜 부분(YYMMDD)을 수정</t>
    </r>
    <r>
      <rPr>
        <sz val="10"/>
        <color rgb="FF242A30"/>
        <rFont val="Noto Sans KR"/>
        <family val="3"/>
        <charset val="129"/>
      </rPr>
      <t xml:space="preserve"> 후 실행해 주세요. *탭 명에서 나머지 부분은 수정하지 말아주세요.
ㄴ 저장 위치: 마스터 시트와 동일한 드라이브(폴더)
ㄴ 파일명: </t>
    </r>
    <r>
      <rPr>
        <b/>
        <sz val="10"/>
        <color rgb="FFFF0000"/>
        <rFont val="Noto Sans KR"/>
        <family val="3"/>
        <charset val="129"/>
      </rPr>
      <t>[모두의연구소] 고객사명_과정명_견적서_YYMMDD.pdf *자동 세팅</t>
    </r>
    <r>
      <rPr>
        <sz val="10"/>
        <color rgb="FF242A30"/>
        <rFont val="Noto Sans KR"/>
        <family val="3"/>
        <charset val="129"/>
      </rPr>
      <t xml:space="preserve">
</t>
    </r>
    <r>
      <rPr>
        <sz val="10"/>
        <color rgb="FF0000FF"/>
        <rFont val="Noto Sans KR"/>
        <family val="3"/>
        <charset val="129"/>
      </rPr>
      <t xml:space="preserve">※ 본 탭은 개요 탭과 직접 연동되어 있습니다(계약 총액 / 최종 견적서). 
※ 자동화 오류를 방지하기 위해 탭을 새로 생성하거나 복제하지 말고, PDF로 저장 후 해당 탭을 수정하며 사용해 주시기 바랍니다.
</t>
    </r>
    <r>
      <rPr>
        <b/>
        <sz val="10"/>
        <color rgb="FFFF0000"/>
        <rFont val="Noto Sans KR"/>
        <family val="3"/>
        <charset val="129"/>
      </rPr>
      <t>※ 사업 품의서 상신 전, 본 탭이 최종본이 맞는지 확인해 주세요.</t>
    </r>
    <r>
      <rPr>
        <b/>
        <sz val="10"/>
        <color rgb="FF242A30"/>
        <rFont val="Noto Sans KR"/>
        <family val="3"/>
        <charset val="129"/>
      </rPr>
      <t xml:space="preserve">
</t>
    </r>
  </si>
  <si>
    <t>견  적  서</t>
  </si>
  <si>
    <t>공
급
자</t>
  </si>
  <si>
    <t>등록번호</t>
  </si>
  <si>
    <t>517-88-00184</t>
  </si>
  <si>
    <t>대표이사</t>
  </si>
  <si>
    <t>김 승 일      (인)</t>
  </si>
  <si>
    <t xml:space="preserve"> 이사현</t>
  </si>
  <si>
    <t xml:space="preserve">  님 귀하</t>
  </si>
  <si>
    <t>사업장
소재지</t>
  </si>
  <si>
    <t>서울시 강남구 강남대로 324 역삼디오슈페리움 2층, 201, 202호</t>
  </si>
  <si>
    <t>업태</t>
  </si>
  <si>
    <t>서비스</t>
  </si>
  <si>
    <t>종  목</t>
  </si>
  <si>
    <t>경영컨설팅</t>
  </si>
  <si>
    <t xml:space="preserve">아래와 같이 견적을 드립니다. </t>
  </si>
  <si>
    <t>전화번호</t>
  </si>
  <si>
    <t>070-7743-5882</t>
  </si>
  <si>
    <t>견적 유효일 : 견적 후 30일</t>
  </si>
  <si>
    <t>담당자</t>
  </si>
  <si>
    <t>소승민</t>
  </si>
  <si>
    <t>sm.so@modulabs.co.kr</t>
  </si>
  <si>
    <t>Contact</t>
  </si>
  <si>
    <t>010-3695-0669</t>
  </si>
  <si>
    <t>합  계</t>
  </si>
  <si>
    <t>항 목</t>
  </si>
  <si>
    <t>수량</t>
  </si>
  <si>
    <t>단  가</t>
  </si>
  <si>
    <t>공 급 가 액</t>
  </si>
  <si>
    <t>교육비</t>
  </si>
  <si>
    <t>[N회차] 과정 명</t>
  </si>
  <si>
    <t>* 주강사 1인 오프라인 참여
* 교육 운영 및 기업 이윤 포함</t>
  </si>
  <si>
    <t>[VOD] 상품 명</t>
  </si>
  <si>
    <t>*인원 조정 시 최종 견적 변동될 수 있음 (필요할때 넣어서 쓰세요)</t>
  </si>
  <si>
    <t>운영비</t>
  </si>
  <si>
    <t>실습용 노트북 대여</t>
  </si>
  <si>
    <t>* 기기 수요에 따라 견적 추가될 수 있음</t>
  </si>
  <si>
    <t>재료비</t>
  </si>
  <si>
    <t>실습을 위한 AI 인프라 세팅</t>
  </si>
  <si>
    <t>* 계정 수요에 따라 견적 추가될 수 있음
* Team Plan 또는 대행사 발급 기준으로 비용 산출
* AI 실습을 위한 서버 운영, AI 툴 계정 세팅 및 구독 비용 발생 가능</t>
  </si>
  <si>
    <t>소계(천원단위 절사)</t>
  </si>
  <si>
    <t>부가세(10%)</t>
  </si>
  <si>
    <t>견적 금액</t>
  </si>
  <si>
    <t>- 귀 기관의 무궁한 발전을 기원합니다
- 상기와 같이 견적을 드리오니, 문의사항이 있으면 언제든 연락주시면 감사하겠습니다
- 상기 견적은 일정에 따라 변경 될 수 있습니다
- 인프라 비용은 교육 당일의 원활한 실습 환경 구축 및 기술 지원을 위한 항목입니다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</si>
</sst>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77" formatCode="yyyy\-mm\-dd"/>
    <numFmt numFmtId="179" formatCode="[DBNum4]&quot;금&quot;\ [$-412]General\ &quot;원&quot;"/>
    <numFmt numFmtId="180" formatCode="\(&quot;₩&quot;\ #,##0\ \V\A\T&quot;포&quot;&quot;함&quot;\)_)"/>
    <numFmt numFmtId="181" formatCode="#&quot;일&quot;"/>
    <numFmt numFmtId="182" formatCode="#&quot;시간&quot;"/>
    <numFmt numFmtId="183" formatCode="_([$₩-412]* #,##0_);_([$₩-412]* \(#,##0\);_([$₩-412]* &quot;-&quot;??_);_(@_)"/>
    <numFmt numFmtId="184" formatCode="_-&quot;₩&quot;* #,##0_-;\-&quot;₩&quot;* #,##0_-;_-&quot;₩&quot;* &quot;-&quot;_-;_-@"/>
    <numFmt numFmtId="185" formatCode="#&quot;인&quot;"/>
    <numFmt numFmtId="186" formatCode="#&quot;회&quot;"/>
    <numFmt numFmtId="187" formatCode="0&quot;개&quot;&quot;월&quot;"/>
    <numFmt numFmtId="188" formatCode="0&quot;대&quot;"/>
    <numFmt numFmtId="189" formatCode="0&quot;회&quot;"/>
    <numFmt numFmtId="190" formatCode="0&quot;식&quot;"/>
  </numFmts>
  <fonts count="18">
    <font>
      <sz val="10"/>
      <color rgb="FF000000"/>
      <name val="Arial"/>
      <scheme val="minor"/>
    </font>
    <font>
      <sz val="10"/>
      <name val="Arial"/>
    </font>
    <font>
      <b/>
      <sz val="10"/>
      <color rgb="FFFF0000"/>
      <name val="Noto Sans KR"/>
      <family val="3"/>
      <charset val="129"/>
    </font>
    <font>
      <b/>
      <sz val="10"/>
      <color rgb="FF242A30"/>
      <name val="Noto Sans KR"/>
      <family val="3"/>
      <charset val="129"/>
    </font>
    <font>
      <b/>
      <sz val="22"/>
      <color theme="1"/>
      <name val="Malgun Gothic"/>
      <family val="3"/>
      <charset val="129"/>
    </font>
    <font>
      <sz val="10"/>
      <color theme="1"/>
      <name val="Arial"/>
    </font>
    <font>
      <sz val="10"/>
      <color theme="1"/>
      <name val="Malgun Gothic"/>
      <family val="3"/>
      <charset val="129"/>
    </font>
    <font>
      <sz val="11"/>
      <color theme="1"/>
      <name val="Malgun Gothic"/>
      <family val="3"/>
      <charset val="129"/>
    </font>
    <font>
      <sz val="9"/>
      <color theme="1"/>
      <name val="Malgun Gothic"/>
      <family val="3"/>
      <charset val="129"/>
    </font>
    <font>
      <b/>
      <sz val="12"/>
      <color theme="1"/>
      <name val="Malgun Gothic"/>
      <family val="3"/>
      <charset val="129"/>
    </font>
    <font>
      <b/>
      <u/>
      <sz val="12"/>
      <color theme="1"/>
      <name val="Malgun Gothic"/>
      <family val="3"/>
      <charset val="129"/>
    </font>
    <font>
      <b/>
      <u/>
      <sz val="12"/>
      <color theme="1"/>
      <name val="Malgun Gothic"/>
      <family val="3"/>
      <charset val="129"/>
    </font>
    <font>
      <b/>
      <sz val="10"/>
      <color theme="1"/>
      <name val="Malgun Gothic"/>
      <family val="3"/>
      <charset val="129"/>
    </font>
    <font>
      <b/>
      <sz val="10"/>
      <color theme="1"/>
      <name val="Malgun Gothic"/>
      <family val="3"/>
      <charset val="129"/>
    </font>
    <font>
      <sz val="10"/>
      <color rgb="FF242A30"/>
      <name val="Noto Sans KR"/>
      <family val="3"/>
      <charset val="129"/>
    </font>
    <font>
      <sz val="10"/>
      <color rgb="FF0000FF"/>
      <name val="Noto Sans KR"/>
      <family val="3"/>
      <charset val="129"/>
    </font>
    <font>
      <sz val="10"/>
      <color rgb="FFFF0000"/>
      <name val="Noto Sans KR"/>
      <family val="3"/>
      <charset val="129"/>
    </font>
    <font>
      <sz val="8"/>
      <name val="Arial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4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5" fillId="0" borderId="4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6" fillId="0" borderId="6" xfId="0" applyFont="1" applyBorder="1" applyAlignment="1">
      <alignment horizontal="center" vertical="center"/>
    </xf>
    <xf numFmtId="177" fontId="5" fillId="0" borderId="0" xfId="0" applyNumberFormat="1" applyFont="1" applyAlignment="1">
      <alignment vertical="center"/>
    </xf>
    <xf numFmtId="0" fontId="6" fillId="0" borderId="12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right" vertical="center"/>
    </xf>
    <xf numFmtId="0" fontId="8" fillId="0" borderId="6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5" fillId="0" borderId="19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9" fillId="4" borderId="22" xfId="0" applyFont="1" applyFill="1" applyBorder="1" applyAlignment="1">
      <alignment horizontal="center" vertical="center" wrapText="1"/>
    </xf>
    <xf numFmtId="0" fontId="9" fillId="4" borderId="22" xfId="0" applyFont="1" applyFill="1" applyBorder="1" applyAlignment="1">
      <alignment horizontal="center" vertical="center"/>
    </xf>
    <xf numFmtId="0" fontId="9" fillId="4" borderId="12" xfId="0" applyFont="1" applyFill="1" applyBorder="1" applyAlignment="1">
      <alignment horizontal="center" vertical="center" wrapText="1"/>
    </xf>
    <xf numFmtId="0" fontId="12" fillId="0" borderId="24" xfId="0" applyFont="1" applyBorder="1" applyAlignment="1">
      <alignment horizontal="center" vertical="center" wrapText="1"/>
    </xf>
    <xf numFmtId="181" fontId="6" fillId="0" borderId="24" xfId="0" applyNumberFormat="1" applyFont="1" applyBorder="1" applyAlignment="1">
      <alignment horizontal="center" vertical="center"/>
    </xf>
    <xf numFmtId="182" fontId="6" fillId="0" borderId="24" xfId="0" applyNumberFormat="1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 wrapText="1"/>
    </xf>
    <xf numFmtId="185" fontId="6" fillId="0" borderId="30" xfId="0" applyNumberFormat="1" applyFont="1" applyBorder="1" applyAlignment="1">
      <alignment horizontal="center" vertical="center"/>
    </xf>
    <xf numFmtId="186" fontId="6" fillId="0" borderId="30" xfId="0" applyNumberFormat="1" applyFont="1" applyBorder="1" applyAlignment="1">
      <alignment horizontal="center" vertical="center"/>
    </xf>
    <xf numFmtId="0" fontId="12" fillId="0" borderId="35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 wrapText="1"/>
    </xf>
    <xf numFmtId="187" fontId="6" fillId="0" borderId="30" xfId="0" applyNumberFormat="1" applyFont="1" applyBorder="1" applyAlignment="1">
      <alignment horizontal="center" vertical="center"/>
    </xf>
    <xf numFmtId="188" fontId="6" fillId="0" borderId="30" xfId="0" applyNumberFormat="1" applyFont="1" applyBorder="1" applyAlignment="1">
      <alignment horizontal="center" vertical="center"/>
    </xf>
    <xf numFmtId="189" fontId="6" fillId="0" borderId="30" xfId="0" applyNumberFormat="1" applyFont="1" applyBorder="1" applyAlignment="1">
      <alignment horizontal="center" vertical="center"/>
    </xf>
    <xf numFmtId="190" fontId="6" fillId="0" borderId="30" xfId="0" applyNumberFormat="1" applyFont="1" applyBorder="1" applyAlignment="1">
      <alignment horizontal="center" vertical="center"/>
    </xf>
    <xf numFmtId="0" fontId="12" fillId="0" borderId="37" xfId="0" applyFont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0" fillId="0" borderId="0" xfId="0"/>
    <xf numFmtId="0" fontId="6" fillId="3" borderId="7" xfId="0" applyFont="1" applyFill="1" applyBorder="1" applyAlignment="1">
      <alignment horizontal="center" vertical="center"/>
    </xf>
    <xf numFmtId="0" fontId="1" fillId="0" borderId="8" xfId="0" applyFont="1" applyBorder="1"/>
    <xf numFmtId="0" fontId="1" fillId="0" borderId="9" xfId="0" applyFont="1" applyBorder="1"/>
    <xf numFmtId="179" fontId="10" fillId="4" borderId="7" xfId="0" applyNumberFormat="1" applyFont="1" applyFill="1" applyBorder="1" applyAlignment="1">
      <alignment horizontal="center" vertical="center" wrapText="1"/>
    </xf>
    <xf numFmtId="0" fontId="1" fillId="0" borderId="6" xfId="0" applyFont="1" applyBorder="1"/>
    <xf numFmtId="180" fontId="11" fillId="4" borderId="7" xfId="0" applyNumberFormat="1" applyFont="1" applyFill="1" applyBorder="1" applyAlignment="1">
      <alignment horizontal="center" vertical="center"/>
    </xf>
    <xf numFmtId="0" fontId="9" fillId="4" borderId="7" xfId="0" applyFont="1" applyFill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1" fillId="0" borderId="29" xfId="0" applyFont="1" applyBorder="1"/>
    <xf numFmtId="0" fontId="8" fillId="0" borderId="31" xfId="0" applyFont="1" applyBorder="1" applyAlignment="1">
      <alignment vertical="center" wrapText="1"/>
    </xf>
    <xf numFmtId="0" fontId="1" fillId="0" borderId="34" xfId="0" applyFont="1" applyBorder="1"/>
    <xf numFmtId="183" fontId="6" fillId="0" borderId="31" xfId="0" applyNumberFormat="1" applyFont="1" applyBorder="1" applyAlignment="1">
      <alignment horizontal="right" vertical="center"/>
    </xf>
    <xf numFmtId="0" fontId="1" fillId="0" borderId="32" xfId="0" applyFont="1" applyBorder="1"/>
    <xf numFmtId="184" fontId="6" fillId="0" borderId="31" xfId="0" applyNumberFormat="1" applyFont="1" applyBorder="1" applyAlignment="1">
      <alignment horizontal="right" vertical="center"/>
    </xf>
    <xf numFmtId="0" fontId="1" fillId="0" borderId="33" xfId="0" applyFont="1" applyBorder="1"/>
    <xf numFmtId="0" fontId="9" fillId="4" borderId="36" xfId="0" applyFont="1" applyFill="1" applyBorder="1" applyAlignment="1">
      <alignment horizontal="center" vertical="center"/>
    </xf>
    <xf numFmtId="177" fontId="7" fillId="0" borderId="10" xfId="0" applyNumberFormat="1" applyFont="1" applyBorder="1" applyAlignment="1">
      <alignment horizontal="center" vertical="center" wrapText="1"/>
    </xf>
    <xf numFmtId="0" fontId="1" fillId="0" borderId="10" xfId="0" applyFont="1" applyBorder="1"/>
    <xf numFmtId="0" fontId="6" fillId="0" borderId="4" xfId="0" applyFont="1" applyBorder="1" applyAlignment="1">
      <alignment horizontal="center" vertical="center"/>
    </xf>
    <xf numFmtId="0" fontId="1" fillId="0" borderId="14" xfId="0" applyFont="1" applyBorder="1"/>
    <xf numFmtId="0" fontId="6" fillId="0" borderId="16" xfId="0" applyFont="1" applyBorder="1" applyAlignment="1">
      <alignment horizontal="center" vertical="center"/>
    </xf>
    <xf numFmtId="0" fontId="1" fillId="0" borderId="17" xfId="0" applyFont="1" applyBorder="1"/>
    <xf numFmtId="0" fontId="1" fillId="0" borderId="18" xfId="0" applyFont="1" applyBorder="1"/>
    <xf numFmtId="0" fontId="6" fillId="0" borderId="4" xfId="0" applyFont="1" applyBorder="1" applyAlignment="1">
      <alignment horizontal="center" vertical="center" wrapText="1"/>
    </xf>
    <xf numFmtId="0" fontId="3" fillId="2" borderId="0" xfId="0" applyFont="1" applyFill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1" fillId="0" borderId="2" xfId="0" applyFont="1" applyBorder="1"/>
    <xf numFmtId="0" fontId="1" fillId="0" borderId="3" xfId="0" applyFont="1" applyBorder="1"/>
    <xf numFmtId="0" fontId="5" fillId="0" borderId="4" xfId="0" applyFont="1" applyBorder="1" applyAlignment="1">
      <alignment vertical="center"/>
    </xf>
    <xf numFmtId="0" fontId="6" fillId="0" borderId="5" xfId="0" applyFont="1" applyBorder="1" applyAlignment="1">
      <alignment horizontal="center" vertical="center" wrapText="1"/>
    </xf>
    <xf numFmtId="0" fontId="1" fillId="0" borderId="11" xfId="0" applyFont="1" applyBorder="1"/>
    <xf numFmtId="0" fontId="1" fillId="0" borderId="21" xfId="0" applyFont="1" applyBorder="1"/>
    <xf numFmtId="0" fontId="6" fillId="0" borderId="7" xfId="0" applyFont="1" applyBorder="1" applyAlignment="1">
      <alignment horizontal="center" vertical="center"/>
    </xf>
    <xf numFmtId="0" fontId="8" fillId="0" borderId="7" xfId="0" applyFont="1" applyBorder="1" applyAlignment="1">
      <alignment vertical="center" wrapText="1"/>
    </xf>
    <xf numFmtId="183" fontId="6" fillId="0" borderId="25" xfId="0" applyNumberFormat="1" applyFont="1" applyBorder="1" applyAlignment="1">
      <alignment horizontal="right" vertical="center"/>
    </xf>
    <xf numFmtId="0" fontId="1" fillId="0" borderId="26" xfId="0" applyFont="1" applyBorder="1"/>
    <xf numFmtId="184" fontId="6" fillId="0" borderId="25" xfId="0" applyNumberFormat="1" applyFont="1" applyBorder="1" applyAlignment="1">
      <alignment horizontal="right" vertical="center"/>
    </xf>
    <xf numFmtId="0" fontId="1" fillId="0" borderId="27" xfId="0" applyFont="1" applyBorder="1"/>
    <xf numFmtId="0" fontId="8" fillId="0" borderId="25" xfId="0" applyFont="1" applyBorder="1" applyAlignment="1">
      <alignment vertical="center" wrapText="1"/>
    </xf>
    <xf numFmtId="0" fontId="1" fillId="0" borderId="28" xfId="0" applyFont="1" applyBorder="1"/>
    <xf numFmtId="38" fontId="9" fillId="4" borderId="7" xfId="0" applyNumberFormat="1" applyFont="1" applyFill="1" applyBorder="1" applyAlignment="1">
      <alignment horizontal="right" vertical="center"/>
    </xf>
    <xf numFmtId="38" fontId="5" fillId="4" borderId="7" xfId="0" applyNumberFormat="1" applyFont="1" applyFill="1" applyBorder="1" applyAlignment="1">
      <alignment vertical="center"/>
    </xf>
    <xf numFmtId="0" fontId="12" fillId="0" borderId="38" xfId="0" applyFont="1" applyBorder="1" applyAlignment="1">
      <alignment vertical="center" wrapText="1"/>
    </xf>
    <xf numFmtId="0" fontId="1" fillId="0" borderId="39" xfId="0" applyFont="1" applyBorder="1"/>
    <xf numFmtId="0" fontId="1" fillId="0" borderId="40" xfId="0" applyFont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19050</xdr:colOff>
      <xdr:row>1</xdr:row>
      <xdr:rowOff>38100</xdr:rowOff>
    </xdr:from>
    <xdr:ext cx="1581150" cy="638175"/>
    <xdr:pic>
      <xdr:nvPicPr>
        <xdr:cNvPr id="2" name="image1.png" title="이미지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219075</xdr:colOff>
      <xdr:row>2</xdr:row>
      <xdr:rowOff>209550</xdr:rowOff>
    </xdr:from>
    <xdr:ext cx="600075" cy="561975"/>
    <xdr:pic>
      <xdr:nvPicPr>
        <xdr:cNvPr id="3" name="image2.png" title="이미지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A1:K992"/>
  <sheetViews>
    <sheetView showGridLines="0" tabSelected="1" workbookViewId="0">
      <selection sqref="A1:K1"/>
    </sheetView>
  </sheetViews>
  <sheetFormatPr defaultColWidth="12.5703125" defaultRowHeight="15.75" customHeight="1"/>
  <cols>
    <col min="1" max="1" width="10.42578125" customWidth="1"/>
    <col min="2" max="2" width="27.5703125" customWidth="1"/>
    <col min="3" max="4" width="6.5703125" customWidth="1"/>
    <col min="5" max="5" width="5.42578125" customWidth="1"/>
    <col min="6" max="6" width="7.140625" customWidth="1"/>
    <col min="7" max="7" width="3.85546875" customWidth="1"/>
    <col min="8" max="8" width="8.140625" customWidth="1"/>
    <col min="9" max="9" width="6.140625" customWidth="1"/>
    <col min="10" max="10" width="8.28515625" customWidth="1"/>
    <col min="11" max="11" width="22" customWidth="1"/>
  </cols>
  <sheetData>
    <row r="1" spans="1:11" ht="12.75">
      <c r="A1" s="57" t="s">
        <v>2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2" spans="1:11" ht="58.5" customHeight="1">
      <c r="A2" s="58" t="s">
        <v>3</v>
      </c>
      <c r="B2" s="59"/>
      <c r="C2" s="59"/>
      <c r="D2" s="59"/>
      <c r="E2" s="59"/>
      <c r="F2" s="59"/>
      <c r="G2" s="59"/>
      <c r="H2" s="59"/>
      <c r="I2" s="59"/>
      <c r="J2" s="59"/>
      <c r="K2" s="60"/>
    </row>
    <row r="3" spans="1:11" ht="25.5" customHeight="1">
      <c r="A3" s="61"/>
      <c r="B3" s="32"/>
      <c r="C3" s="32"/>
      <c r="D3" s="32"/>
      <c r="E3" s="32"/>
      <c r="F3" s="2"/>
      <c r="G3" s="62" t="s">
        <v>4</v>
      </c>
      <c r="H3" s="3" t="s">
        <v>5</v>
      </c>
      <c r="I3" s="65" t="s">
        <v>6</v>
      </c>
      <c r="J3" s="34"/>
      <c r="K3" s="35"/>
    </row>
    <row r="4" spans="1:11" ht="25.5" customHeight="1">
      <c r="A4" s="1"/>
      <c r="B4" s="49">
        <v>45954</v>
      </c>
      <c r="C4" s="50"/>
      <c r="D4" s="4"/>
      <c r="E4" s="2"/>
      <c r="F4" s="2"/>
      <c r="G4" s="63"/>
      <c r="H4" s="5" t="s">
        <v>7</v>
      </c>
      <c r="I4" s="65" t="s">
        <v>8</v>
      </c>
      <c r="J4" s="34"/>
      <c r="K4" s="35"/>
    </row>
    <row r="5" spans="1:11" ht="25.5" customHeight="1">
      <c r="A5" s="1"/>
      <c r="B5" s="6" t="s">
        <v>9</v>
      </c>
      <c r="C5" s="7" t="s">
        <v>10</v>
      </c>
      <c r="D5" s="2"/>
      <c r="E5" s="2"/>
      <c r="F5" s="2"/>
      <c r="G5" s="63"/>
      <c r="H5" s="8" t="s">
        <v>11</v>
      </c>
      <c r="I5" s="66" t="s">
        <v>12</v>
      </c>
      <c r="J5" s="34"/>
      <c r="K5" s="35"/>
    </row>
    <row r="6" spans="1:11" ht="25.5" customHeight="1">
      <c r="A6" s="1"/>
      <c r="B6" s="2"/>
      <c r="C6" s="2"/>
      <c r="D6" s="2"/>
      <c r="E6" s="2"/>
      <c r="F6" s="2"/>
      <c r="G6" s="63"/>
      <c r="H6" s="3" t="s">
        <v>13</v>
      </c>
      <c r="I6" s="5" t="s">
        <v>14</v>
      </c>
      <c r="J6" s="5" t="s">
        <v>15</v>
      </c>
      <c r="K6" s="9" t="s">
        <v>16</v>
      </c>
    </row>
    <row r="7" spans="1:11" ht="25.5" customHeight="1">
      <c r="A7" s="51" t="s">
        <v>17</v>
      </c>
      <c r="B7" s="32"/>
      <c r="C7" s="32"/>
      <c r="D7" s="32"/>
      <c r="E7" s="32"/>
      <c r="F7" s="52"/>
      <c r="G7" s="63"/>
      <c r="H7" s="10" t="s">
        <v>18</v>
      </c>
      <c r="I7" s="53" t="s">
        <v>19</v>
      </c>
      <c r="J7" s="54"/>
      <c r="K7" s="55"/>
    </row>
    <row r="8" spans="1:11" ht="25.5" customHeight="1">
      <c r="A8" s="56" t="s">
        <v>20</v>
      </c>
      <c r="B8" s="32"/>
      <c r="C8" s="32"/>
      <c r="D8" s="32"/>
      <c r="E8" s="32"/>
      <c r="F8" s="52"/>
      <c r="G8" s="63"/>
      <c r="H8" s="5" t="s">
        <v>21</v>
      </c>
      <c r="I8" s="11" t="s">
        <v>22</v>
      </c>
      <c r="J8" s="53" t="s">
        <v>23</v>
      </c>
      <c r="K8" s="55"/>
    </row>
    <row r="9" spans="1:11" ht="25.5" customHeight="1">
      <c r="A9" s="12"/>
      <c r="B9" s="13"/>
      <c r="C9" s="13"/>
      <c r="D9" s="13"/>
      <c r="E9" s="13"/>
      <c r="F9" s="14"/>
      <c r="G9" s="64"/>
      <c r="H9" s="5" t="s">
        <v>24</v>
      </c>
      <c r="I9" s="33" t="s">
        <v>25</v>
      </c>
      <c r="J9" s="34"/>
      <c r="K9" s="35"/>
    </row>
    <row r="10" spans="1:11" ht="46.5" customHeight="1">
      <c r="A10" s="15" t="s">
        <v>26</v>
      </c>
      <c r="B10" s="36" t="e">
        <f ca="1">"금 " &amp; KORMONEY(G10) &amp; "원"</f>
        <v>#NAME?</v>
      </c>
      <c r="C10" s="34"/>
      <c r="D10" s="34"/>
      <c r="E10" s="34"/>
      <c r="F10" s="37"/>
      <c r="G10" s="38">
        <f>G18</f>
        <v>10890000</v>
      </c>
      <c r="H10" s="34"/>
      <c r="I10" s="34"/>
      <c r="J10" s="34"/>
      <c r="K10" s="35"/>
    </row>
    <row r="11" spans="1:11" ht="32.25" customHeight="1">
      <c r="A11" s="16" t="s">
        <v>1</v>
      </c>
      <c r="B11" s="17" t="s">
        <v>27</v>
      </c>
      <c r="C11" s="39" t="s">
        <v>28</v>
      </c>
      <c r="D11" s="37"/>
      <c r="E11" s="39" t="s">
        <v>29</v>
      </c>
      <c r="F11" s="37"/>
      <c r="G11" s="39" t="s">
        <v>30</v>
      </c>
      <c r="H11" s="34"/>
      <c r="I11" s="37"/>
      <c r="J11" s="39" t="s">
        <v>0</v>
      </c>
      <c r="K11" s="35"/>
    </row>
    <row r="12" spans="1:11" ht="39.75" customHeight="1">
      <c r="A12" s="40" t="s">
        <v>31</v>
      </c>
      <c r="B12" s="18" t="s">
        <v>32</v>
      </c>
      <c r="C12" s="19">
        <v>2</v>
      </c>
      <c r="D12" s="20">
        <v>6</v>
      </c>
      <c r="E12" s="67">
        <v>600000</v>
      </c>
      <c r="F12" s="68"/>
      <c r="G12" s="69">
        <f t="shared" ref="G12:G15" si="0">C12*D12*E12</f>
        <v>7200000</v>
      </c>
      <c r="H12" s="70"/>
      <c r="I12" s="68"/>
      <c r="J12" s="71" t="s">
        <v>33</v>
      </c>
      <c r="K12" s="72"/>
    </row>
    <row r="13" spans="1:11" ht="39.75" customHeight="1">
      <c r="A13" s="41"/>
      <c r="B13" s="21" t="s">
        <v>34</v>
      </c>
      <c r="C13" s="22">
        <v>30</v>
      </c>
      <c r="D13" s="23">
        <v>1</v>
      </c>
      <c r="E13" s="44">
        <v>50000</v>
      </c>
      <c r="F13" s="45"/>
      <c r="G13" s="46">
        <f t="shared" si="0"/>
        <v>1500000</v>
      </c>
      <c r="H13" s="47"/>
      <c r="I13" s="45"/>
      <c r="J13" s="42" t="s">
        <v>35</v>
      </c>
      <c r="K13" s="43"/>
    </row>
    <row r="14" spans="1:11" ht="39.75" customHeight="1">
      <c r="A14" s="24" t="s">
        <v>36</v>
      </c>
      <c r="B14" s="25" t="s">
        <v>37</v>
      </c>
      <c r="C14" s="26">
        <v>1</v>
      </c>
      <c r="D14" s="27">
        <v>30</v>
      </c>
      <c r="E14" s="44">
        <v>40000</v>
      </c>
      <c r="F14" s="45"/>
      <c r="G14" s="46">
        <f t="shared" si="0"/>
        <v>1200000</v>
      </c>
      <c r="H14" s="47"/>
      <c r="I14" s="45"/>
      <c r="J14" s="42" t="s">
        <v>38</v>
      </c>
      <c r="K14" s="43"/>
    </row>
    <row r="15" spans="1:11" ht="67.5" customHeight="1">
      <c r="A15" s="24" t="s">
        <v>39</v>
      </c>
      <c r="B15" s="21" t="s">
        <v>40</v>
      </c>
      <c r="C15" s="28">
        <v>6</v>
      </c>
      <c r="D15" s="29">
        <v>0</v>
      </c>
      <c r="E15" s="44">
        <f>45000*1.2</f>
        <v>54000</v>
      </c>
      <c r="F15" s="45"/>
      <c r="G15" s="46">
        <f t="shared" si="0"/>
        <v>0</v>
      </c>
      <c r="H15" s="47"/>
      <c r="I15" s="45"/>
      <c r="J15" s="42" t="s">
        <v>41</v>
      </c>
      <c r="K15" s="43"/>
    </row>
    <row r="16" spans="1:11" ht="33.75" customHeight="1">
      <c r="A16" s="48" t="s">
        <v>42</v>
      </c>
      <c r="B16" s="34"/>
      <c r="C16" s="34"/>
      <c r="D16" s="34"/>
      <c r="E16" s="34"/>
      <c r="F16" s="37"/>
      <c r="G16" s="73">
        <f>SUM(G12:I15)</f>
        <v>9900000</v>
      </c>
      <c r="H16" s="34"/>
      <c r="I16" s="37"/>
      <c r="J16" s="74"/>
      <c r="K16" s="35"/>
    </row>
    <row r="17" spans="1:11" ht="33.75" customHeight="1">
      <c r="A17" s="48" t="s">
        <v>43</v>
      </c>
      <c r="B17" s="34"/>
      <c r="C17" s="34"/>
      <c r="D17" s="34"/>
      <c r="E17" s="34"/>
      <c r="F17" s="37"/>
      <c r="G17" s="73">
        <f>G16*0.1</f>
        <v>990000</v>
      </c>
      <c r="H17" s="34"/>
      <c r="I17" s="37"/>
      <c r="J17" s="74"/>
      <c r="K17" s="35"/>
    </row>
    <row r="18" spans="1:11" ht="33.75" customHeight="1">
      <c r="A18" s="48" t="s">
        <v>44</v>
      </c>
      <c r="B18" s="34"/>
      <c r="C18" s="34"/>
      <c r="D18" s="34"/>
      <c r="E18" s="34"/>
      <c r="F18" s="37"/>
      <c r="G18" s="73">
        <f>SUM(G16:G17)</f>
        <v>10890000</v>
      </c>
      <c r="H18" s="34"/>
      <c r="I18" s="37"/>
      <c r="J18" s="74"/>
      <c r="K18" s="35"/>
    </row>
    <row r="19" spans="1:11" ht="63" customHeight="1">
      <c r="A19" s="30" t="s">
        <v>0</v>
      </c>
      <c r="B19" s="75" t="s">
        <v>45</v>
      </c>
      <c r="C19" s="76"/>
      <c r="D19" s="76"/>
      <c r="E19" s="76"/>
      <c r="F19" s="76"/>
      <c r="G19" s="76"/>
      <c r="H19" s="76"/>
      <c r="I19" s="76"/>
      <c r="J19" s="76"/>
      <c r="K19" s="77"/>
    </row>
    <row r="20" spans="1:11" ht="63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ht="63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ht="63" customHeight="1">
      <c r="A22" s="31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ht="63" customHeight="1">
      <c r="A23" s="31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ht="63" customHeight="1">
      <c r="A24" s="31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ht="63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ht="63" customHeight="1">
      <c r="A26" s="31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ht="63" customHeight="1">
      <c r="A27" s="31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ht="63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ht="63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 ht="63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ht="63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 ht="63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 ht="63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 ht="63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 ht="63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 ht="63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 ht="63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 ht="63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 ht="63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 ht="63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 ht="63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 ht="63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 ht="63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 ht="63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 ht="63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 ht="63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 ht="63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 ht="63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 ht="63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 ht="63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 ht="63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 ht="63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 ht="63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 ht="63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 ht="63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 ht="63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 ht="63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 ht="63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 ht="63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 ht="63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 ht="63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 ht="63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 ht="63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 ht="63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 ht="63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 ht="63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 ht="63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 ht="63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 ht="63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 ht="63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 ht="63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 ht="63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 ht="63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 ht="63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 ht="63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 ht="63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 ht="63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 ht="63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 ht="63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 ht="63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 ht="63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 ht="63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 ht="63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 spans="1:11" ht="63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spans="1:11" ht="63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 spans="1:11" ht="63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spans="1:11" ht="63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 ht="63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 spans="1:11" ht="63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 spans="1:11" ht="63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 spans="1:11" ht="63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 spans="1:11" ht="63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spans="1:11" ht="63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1" ht="63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 spans="1:11" ht="63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 spans="1:11" ht="63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 spans="1:11" ht="63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</row>
    <row r="98" spans="1:11" ht="63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 spans="1:11" ht="63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 spans="1:11" ht="63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</row>
    <row r="101" spans="1:11" ht="63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</row>
    <row r="102" spans="1:11" ht="63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</row>
    <row r="103" spans="1:11" ht="63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</row>
    <row r="104" spans="1:11" ht="63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</row>
    <row r="105" spans="1:11" ht="63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</row>
    <row r="106" spans="1:11" ht="63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</row>
    <row r="107" spans="1:11" ht="63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</row>
    <row r="108" spans="1:11" ht="63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</row>
    <row r="109" spans="1:11" ht="63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</row>
    <row r="110" spans="1:11" ht="63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</row>
    <row r="111" spans="1:11" ht="63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</row>
    <row r="112" spans="1:11" ht="63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</row>
    <row r="113" spans="1:11" ht="63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</row>
    <row r="114" spans="1:11" ht="63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</row>
    <row r="115" spans="1:11" ht="63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</row>
    <row r="116" spans="1:11" ht="63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</row>
    <row r="117" spans="1:11" ht="63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</row>
    <row r="118" spans="1:11" ht="63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</row>
    <row r="119" spans="1:11" ht="63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</row>
    <row r="120" spans="1:11" ht="63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</row>
    <row r="121" spans="1:11" ht="63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</row>
    <row r="122" spans="1:11" ht="63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</row>
    <row r="123" spans="1:11" ht="63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</row>
    <row r="124" spans="1:11" ht="63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</row>
    <row r="125" spans="1:11" ht="63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</row>
    <row r="126" spans="1:11" ht="63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</row>
    <row r="127" spans="1:11" ht="63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</row>
    <row r="128" spans="1:11" ht="63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</row>
    <row r="129" spans="1:11" ht="63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</row>
    <row r="130" spans="1:11" ht="63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</row>
    <row r="131" spans="1:11" ht="63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</row>
    <row r="132" spans="1:11" ht="63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</row>
    <row r="133" spans="1:11" ht="63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</row>
    <row r="134" spans="1:11" ht="63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</row>
    <row r="135" spans="1:11" ht="63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</row>
    <row r="136" spans="1:11" ht="63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</row>
    <row r="137" spans="1:11" ht="63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</row>
    <row r="138" spans="1:11" ht="63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</row>
    <row r="139" spans="1:11" ht="63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</row>
    <row r="140" spans="1:11" ht="63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</row>
    <row r="141" spans="1:11" ht="63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</row>
    <row r="142" spans="1:11" ht="63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</row>
    <row r="143" spans="1:11" ht="63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</row>
    <row r="144" spans="1:11" ht="63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</row>
    <row r="145" spans="1:11" ht="63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</row>
    <row r="146" spans="1:11" ht="63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</row>
    <row r="147" spans="1:11" ht="63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</row>
    <row r="148" spans="1:11" ht="63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</row>
    <row r="149" spans="1:11" ht="63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</row>
    <row r="150" spans="1:11" ht="63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</row>
    <row r="151" spans="1:11" ht="63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</row>
    <row r="152" spans="1:11" ht="63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</row>
    <row r="153" spans="1:11" ht="63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</row>
    <row r="154" spans="1:11" ht="63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</row>
    <row r="155" spans="1:11" ht="63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</row>
    <row r="156" spans="1:11" ht="63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</row>
    <row r="157" spans="1:11" ht="63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</row>
    <row r="158" spans="1:11" ht="63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</row>
    <row r="159" spans="1:11" ht="63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</row>
    <row r="160" spans="1:11" ht="63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</row>
    <row r="161" spans="1:11" ht="63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</row>
    <row r="162" spans="1:11" ht="63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</row>
    <row r="163" spans="1:11" ht="63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</row>
    <row r="164" spans="1:11" ht="63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</row>
    <row r="165" spans="1:11" ht="63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</row>
    <row r="166" spans="1:11" ht="63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</row>
    <row r="167" spans="1:11" ht="63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</row>
    <row r="168" spans="1:11" ht="63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</row>
    <row r="169" spans="1:11" ht="63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</row>
    <row r="170" spans="1:11" ht="63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</row>
    <row r="171" spans="1:11" ht="63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</row>
    <row r="172" spans="1:11" ht="63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</row>
    <row r="173" spans="1:11" ht="63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</row>
    <row r="174" spans="1:11" ht="63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</row>
    <row r="175" spans="1:11" ht="63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</row>
    <row r="176" spans="1:11" ht="63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</row>
    <row r="177" spans="1:11" ht="63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</row>
    <row r="178" spans="1:11" ht="63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</row>
    <row r="179" spans="1:11" ht="63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</row>
    <row r="180" spans="1:11" ht="63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</row>
    <row r="181" spans="1:11" ht="63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</row>
    <row r="182" spans="1:11" ht="63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</row>
    <row r="183" spans="1:11" ht="63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</row>
    <row r="184" spans="1:11" ht="63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</row>
    <row r="185" spans="1:11" ht="63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</row>
    <row r="186" spans="1:11" ht="63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</row>
    <row r="187" spans="1:11" ht="63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</row>
    <row r="188" spans="1:11" ht="63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</row>
    <row r="189" spans="1:11" ht="63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</row>
    <row r="190" spans="1:11" ht="63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</row>
    <row r="191" spans="1:11" ht="63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</row>
    <row r="192" spans="1:11" ht="63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</row>
    <row r="193" spans="1:11" ht="63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</row>
    <row r="194" spans="1:11" ht="63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</row>
    <row r="195" spans="1:11" ht="63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</row>
    <row r="196" spans="1:11" ht="63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</row>
    <row r="197" spans="1:11" ht="63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</row>
    <row r="198" spans="1:11" ht="63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</row>
    <row r="199" spans="1:11" ht="63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</row>
    <row r="200" spans="1:11" ht="63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</row>
    <row r="201" spans="1:11" ht="63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</row>
    <row r="202" spans="1:11" ht="63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</row>
    <row r="203" spans="1:11" ht="63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</row>
    <row r="204" spans="1:11" ht="63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</row>
    <row r="205" spans="1:11" ht="63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</row>
    <row r="206" spans="1:11" ht="63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</row>
    <row r="207" spans="1:11" ht="63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</row>
    <row r="208" spans="1:11" ht="63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</row>
    <row r="209" spans="1:11" ht="63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</row>
    <row r="210" spans="1:11" ht="63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</row>
    <row r="211" spans="1:11" ht="63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</row>
    <row r="212" spans="1:11" ht="63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</row>
    <row r="213" spans="1:11" ht="63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</row>
    <row r="214" spans="1:11" ht="63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</row>
    <row r="215" spans="1:11" ht="63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</row>
    <row r="216" spans="1:11" ht="63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</row>
    <row r="217" spans="1:11" ht="63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</row>
    <row r="218" spans="1:11" ht="63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</row>
    <row r="219" spans="1:11" ht="63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</row>
    <row r="220" spans="1:11" ht="63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</row>
    <row r="221" spans="1:11" ht="63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</row>
    <row r="222" spans="1:11" ht="63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</row>
    <row r="223" spans="1:11" ht="63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</row>
    <row r="224" spans="1:11" ht="63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</row>
    <row r="225" spans="1:11" ht="63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</row>
    <row r="226" spans="1:11" ht="63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</row>
    <row r="227" spans="1:11" ht="63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</row>
    <row r="228" spans="1:11" ht="63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</row>
    <row r="229" spans="1:11" ht="63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</row>
    <row r="230" spans="1:11" ht="63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</row>
    <row r="231" spans="1:11" ht="63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</row>
    <row r="232" spans="1:11" ht="63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</row>
    <row r="233" spans="1:11" ht="63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</row>
    <row r="234" spans="1:11" ht="63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</row>
    <row r="235" spans="1:11" ht="63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</row>
    <row r="236" spans="1:11" ht="63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</row>
    <row r="237" spans="1:11" ht="63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</row>
    <row r="238" spans="1:11" ht="63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</row>
    <row r="239" spans="1:11" ht="63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</row>
    <row r="240" spans="1:11" ht="63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</row>
    <row r="241" spans="1:11" ht="63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</row>
    <row r="242" spans="1:11" ht="63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</row>
    <row r="243" spans="1:11" ht="63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</row>
    <row r="244" spans="1:11" ht="63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</row>
    <row r="245" spans="1:11" ht="63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</row>
    <row r="246" spans="1:11" ht="63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</row>
    <row r="247" spans="1:11" ht="63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</row>
    <row r="248" spans="1:11" ht="63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</row>
    <row r="249" spans="1:11" ht="63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</row>
    <row r="250" spans="1:11" ht="63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</row>
    <row r="251" spans="1:11" ht="63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</row>
    <row r="252" spans="1:11" ht="63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</row>
    <row r="253" spans="1:11" ht="63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</row>
    <row r="254" spans="1:11" ht="63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</row>
    <row r="255" spans="1:11" ht="63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</row>
    <row r="256" spans="1:11" ht="63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</row>
    <row r="257" spans="1:11" ht="63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</row>
    <row r="258" spans="1:11" ht="63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</row>
    <row r="259" spans="1:11" ht="63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</row>
    <row r="260" spans="1:11" ht="63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</row>
    <row r="261" spans="1:11" ht="63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</row>
    <row r="262" spans="1:11" ht="63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</row>
    <row r="263" spans="1:11" ht="63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</row>
    <row r="264" spans="1:11" ht="63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</row>
    <row r="265" spans="1:11" ht="63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</row>
    <row r="266" spans="1:11" ht="63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</row>
    <row r="267" spans="1:11" ht="63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</row>
    <row r="268" spans="1:11" ht="63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</row>
    <row r="269" spans="1:11" ht="63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</row>
    <row r="270" spans="1:11" ht="63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</row>
    <row r="271" spans="1:11" ht="63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</row>
    <row r="272" spans="1:11" ht="63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</row>
    <row r="273" spans="1:11" ht="63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</row>
    <row r="274" spans="1:11" ht="63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</row>
    <row r="275" spans="1:11" ht="63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</row>
    <row r="276" spans="1:11" ht="63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</row>
    <row r="277" spans="1:11" ht="63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</row>
    <row r="278" spans="1:11" ht="63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</row>
    <row r="279" spans="1:11" ht="63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</row>
    <row r="280" spans="1:11" ht="63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</row>
    <row r="281" spans="1:11" ht="63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</row>
    <row r="282" spans="1:11" ht="63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</row>
    <row r="283" spans="1:11" ht="63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</row>
    <row r="284" spans="1:11" ht="63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</row>
    <row r="285" spans="1:11" ht="63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</row>
    <row r="286" spans="1:11" ht="63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</row>
    <row r="287" spans="1:11" ht="63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</row>
    <row r="288" spans="1:11" ht="63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</row>
    <row r="289" spans="1:11" ht="63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</row>
    <row r="290" spans="1:11" ht="63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</row>
    <row r="291" spans="1:11" ht="63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</row>
    <row r="292" spans="1:11" ht="63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</row>
    <row r="293" spans="1:11" ht="63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</row>
    <row r="294" spans="1:11" ht="63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</row>
    <row r="295" spans="1:11" ht="63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</row>
    <row r="296" spans="1:11" ht="63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</row>
    <row r="297" spans="1:11" ht="63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</row>
    <row r="298" spans="1:11" ht="63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</row>
    <row r="299" spans="1:11" ht="63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</row>
    <row r="300" spans="1:11" ht="63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</row>
    <row r="301" spans="1:11" ht="63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</row>
    <row r="302" spans="1:11" ht="63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</row>
    <row r="303" spans="1:11" ht="63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</row>
    <row r="304" spans="1:11" ht="63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</row>
    <row r="305" spans="1:11" ht="63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</row>
    <row r="306" spans="1:11" ht="63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</row>
    <row r="307" spans="1:11" ht="63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</row>
    <row r="308" spans="1:11" ht="63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</row>
    <row r="309" spans="1:11" ht="63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</row>
    <row r="310" spans="1:11" ht="63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</row>
    <row r="311" spans="1:11" ht="63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</row>
    <row r="312" spans="1:11" ht="63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</row>
    <row r="313" spans="1:11" ht="63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</row>
    <row r="314" spans="1:11" ht="63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</row>
    <row r="315" spans="1:11" ht="63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</row>
    <row r="316" spans="1:11" ht="63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</row>
    <row r="317" spans="1:11" ht="63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</row>
    <row r="318" spans="1:11" ht="63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</row>
    <row r="319" spans="1:11" ht="63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</row>
    <row r="320" spans="1:11" ht="63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</row>
    <row r="321" spans="1:11" ht="63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</row>
    <row r="322" spans="1:11" ht="63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</row>
    <row r="323" spans="1:11" ht="63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</row>
    <row r="324" spans="1:11" ht="63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</row>
    <row r="325" spans="1:11" ht="63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</row>
    <row r="326" spans="1:11" ht="63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</row>
    <row r="327" spans="1:11" ht="63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</row>
    <row r="328" spans="1:11" ht="63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</row>
    <row r="329" spans="1:11" ht="63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</row>
    <row r="330" spans="1:11" ht="63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</row>
    <row r="331" spans="1:11" ht="63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</row>
    <row r="332" spans="1:11" ht="63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</row>
    <row r="333" spans="1:11" ht="63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</row>
    <row r="334" spans="1:11" ht="63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</row>
    <row r="335" spans="1:11" ht="63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</row>
    <row r="336" spans="1:11" ht="63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</row>
    <row r="337" spans="1:11" ht="63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</row>
    <row r="338" spans="1:11" ht="63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</row>
    <row r="339" spans="1:11" ht="63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</row>
    <row r="340" spans="1:11" ht="63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</row>
    <row r="341" spans="1:11" ht="63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</row>
    <row r="342" spans="1:11" ht="63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</row>
    <row r="343" spans="1:11" ht="63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</row>
    <row r="344" spans="1:11" ht="63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</row>
    <row r="345" spans="1:11" ht="63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</row>
    <row r="346" spans="1:11" ht="63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</row>
    <row r="347" spans="1:11" ht="63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</row>
    <row r="348" spans="1:11" ht="63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</row>
    <row r="349" spans="1:11" ht="63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</row>
    <row r="350" spans="1:11" ht="63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</row>
    <row r="351" spans="1:11" ht="63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</row>
    <row r="352" spans="1:11" ht="63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</row>
    <row r="353" spans="1:11" ht="63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</row>
    <row r="354" spans="1:11" ht="63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</row>
    <row r="355" spans="1:11" ht="63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</row>
    <row r="356" spans="1:11" ht="63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</row>
    <row r="357" spans="1:11" ht="63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</row>
    <row r="358" spans="1:11" ht="63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</row>
    <row r="359" spans="1:11" ht="63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</row>
    <row r="360" spans="1:11" ht="63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</row>
    <row r="361" spans="1:11" ht="63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</row>
    <row r="362" spans="1:11" ht="63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</row>
    <row r="363" spans="1:11" ht="63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</row>
    <row r="364" spans="1:11" ht="63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</row>
    <row r="365" spans="1:11" ht="63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</row>
    <row r="366" spans="1:11" ht="63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</row>
    <row r="367" spans="1:11" ht="63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</row>
    <row r="368" spans="1:11" ht="63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</row>
    <row r="369" spans="1:11" ht="63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</row>
    <row r="370" spans="1:11" ht="63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</row>
    <row r="371" spans="1:11" ht="63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</row>
    <row r="372" spans="1:11" ht="63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</row>
    <row r="373" spans="1:11" ht="63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</row>
    <row r="374" spans="1:11" ht="63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</row>
    <row r="375" spans="1:11" ht="63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</row>
    <row r="376" spans="1:11" ht="63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</row>
    <row r="377" spans="1:11" ht="63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</row>
    <row r="378" spans="1:11" ht="63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</row>
    <row r="379" spans="1:11" ht="63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</row>
    <row r="380" spans="1:11" ht="63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</row>
    <row r="381" spans="1:11" ht="63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</row>
    <row r="382" spans="1:11" ht="63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</row>
    <row r="383" spans="1:11" ht="63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</row>
    <row r="384" spans="1:11" ht="63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</row>
    <row r="385" spans="1:11" ht="63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</row>
    <row r="386" spans="1:11" ht="63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</row>
    <row r="387" spans="1:11" ht="63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</row>
    <row r="388" spans="1:11" ht="63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</row>
    <row r="389" spans="1:11" ht="63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</row>
    <row r="390" spans="1:11" ht="63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</row>
    <row r="391" spans="1:11" ht="63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</row>
    <row r="392" spans="1:11" ht="63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</row>
    <row r="393" spans="1:11" ht="63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</row>
    <row r="394" spans="1:11" ht="63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</row>
    <row r="395" spans="1:11" ht="63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</row>
    <row r="396" spans="1:11" ht="63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</row>
    <row r="397" spans="1:11" ht="63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</row>
    <row r="398" spans="1:11" ht="63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</row>
    <row r="399" spans="1:11" ht="63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</row>
    <row r="400" spans="1:11" ht="63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</row>
    <row r="401" spans="1:11" ht="63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</row>
    <row r="402" spans="1:11" ht="63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</row>
    <row r="403" spans="1:11" ht="63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</row>
    <row r="404" spans="1:11" ht="63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</row>
    <row r="405" spans="1:11" ht="63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</row>
    <row r="406" spans="1:11" ht="63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</row>
    <row r="407" spans="1:11" ht="63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</row>
    <row r="408" spans="1:11" ht="63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</row>
    <row r="409" spans="1:11" ht="63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</row>
    <row r="410" spans="1:11" ht="63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</row>
    <row r="411" spans="1:11" ht="63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</row>
    <row r="412" spans="1:11" ht="63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</row>
    <row r="413" spans="1:11" ht="63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</row>
    <row r="414" spans="1:11" ht="63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</row>
    <row r="415" spans="1:11" ht="63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</row>
    <row r="416" spans="1:11" ht="63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</row>
    <row r="417" spans="1:11" ht="63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</row>
    <row r="418" spans="1:11" ht="63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</row>
    <row r="419" spans="1:11" ht="63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</row>
    <row r="420" spans="1:11" ht="63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</row>
    <row r="421" spans="1:11" ht="63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</row>
    <row r="422" spans="1:11" ht="63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</row>
    <row r="423" spans="1:11" ht="63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</row>
    <row r="424" spans="1:11" ht="63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</row>
    <row r="425" spans="1:11" ht="63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</row>
    <row r="426" spans="1:11" ht="63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</row>
    <row r="427" spans="1:11" ht="63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</row>
    <row r="428" spans="1:11" ht="63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</row>
    <row r="429" spans="1:11" ht="63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</row>
    <row r="430" spans="1:11" ht="63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</row>
    <row r="431" spans="1:11" ht="63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</row>
    <row r="432" spans="1:11" ht="63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</row>
    <row r="433" spans="1:11" ht="63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</row>
    <row r="434" spans="1:11" ht="63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</row>
    <row r="435" spans="1:11" ht="63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</row>
    <row r="436" spans="1:11" ht="63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</row>
    <row r="437" spans="1:11" ht="63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</row>
    <row r="438" spans="1:11" ht="63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</row>
    <row r="439" spans="1:11" ht="63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</row>
    <row r="440" spans="1:11" ht="63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</row>
    <row r="441" spans="1:11" ht="63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</row>
    <row r="442" spans="1:11" ht="63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</row>
    <row r="443" spans="1:11" ht="63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</row>
    <row r="444" spans="1:11" ht="63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</row>
    <row r="445" spans="1:11" ht="63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</row>
    <row r="446" spans="1:11" ht="63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</row>
    <row r="447" spans="1:11" ht="63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</row>
    <row r="448" spans="1:11" ht="63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</row>
    <row r="449" spans="1:11" ht="63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</row>
    <row r="450" spans="1:11" ht="63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</row>
    <row r="451" spans="1:11" ht="63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</row>
    <row r="452" spans="1:11" ht="63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</row>
    <row r="453" spans="1:11" ht="63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</row>
    <row r="454" spans="1:11" ht="63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</row>
    <row r="455" spans="1:11" ht="63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</row>
    <row r="456" spans="1:11" ht="63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</row>
    <row r="457" spans="1:11" ht="63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</row>
    <row r="458" spans="1:11" ht="63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</row>
    <row r="459" spans="1:11" ht="63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</row>
    <row r="460" spans="1:11" ht="63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</row>
    <row r="461" spans="1:11" ht="63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</row>
    <row r="462" spans="1:11" ht="63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</row>
    <row r="463" spans="1:11" ht="63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</row>
    <row r="464" spans="1:11" ht="63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</row>
    <row r="465" spans="1:11" ht="63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</row>
    <row r="466" spans="1:11" ht="63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</row>
    <row r="467" spans="1:11" ht="63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</row>
    <row r="468" spans="1:11" ht="63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</row>
    <row r="469" spans="1:11" ht="63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</row>
    <row r="470" spans="1:11" ht="63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</row>
    <row r="471" spans="1:11" ht="63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</row>
    <row r="472" spans="1:11" ht="63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</row>
    <row r="473" spans="1:11" ht="63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</row>
    <row r="474" spans="1:11" ht="63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</row>
    <row r="475" spans="1:11" ht="63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</row>
    <row r="476" spans="1:11" ht="63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</row>
    <row r="477" spans="1:11" ht="63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</row>
    <row r="478" spans="1:11" ht="63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</row>
    <row r="479" spans="1:11" ht="63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</row>
    <row r="480" spans="1:11" ht="63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</row>
    <row r="481" spans="1:11" ht="63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</row>
    <row r="482" spans="1:11" ht="63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</row>
    <row r="483" spans="1:11" ht="63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</row>
    <row r="484" spans="1:11" ht="63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</row>
    <row r="485" spans="1:11" ht="63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</row>
    <row r="486" spans="1:11" ht="63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</row>
    <row r="487" spans="1:11" ht="63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</row>
    <row r="488" spans="1:11" ht="63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</row>
    <row r="489" spans="1:11" ht="63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</row>
    <row r="490" spans="1:11" ht="63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</row>
    <row r="491" spans="1:11" ht="63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</row>
    <row r="492" spans="1:11" ht="63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</row>
    <row r="493" spans="1:11" ht="63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</row>
    <row r="494" spans="1:11" ht="63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</row>
    <row r="495" spans="1:11" ht="63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</row>
    <row r="496" spans="1:11" ht="63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</row>
    <row r="497" spans="1:11" ht="63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</row>
    <row r="498" spans="1:11" ht="63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</row>
    <row r="499" spans="1:11" ht="63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</row>
    <row r="500" spans="1:11" ht="63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</row>
    <row r="501" spans="1:11" ht="63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</row>
    <row r="502" spans="1:11" ht="63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</row>
    <row r="503" spans="1:11" ht="63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</row>
    <row r="504" spans="1:11" ht="63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</row>
    <row r="505" spans="1:11" ht="63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</row>
    <row r="506" spans="1:11" ht="63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</row>
    <row r="507" spans="1:11" ht="63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</row>
    <row r="508" spans="1:11" ht="63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</row>
    <row r="509" spans="1:11" ht="63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</row>
    <row r="510" spans="1:11" ht="63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</row>
    <row r="511" spans="1:11" ht="63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</row>
    <row r="512" spans="1:11" ht="63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</row>
    <row r="513" spans="1:11" ht="63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</row>
    <row r="514" spans="1:11" ht="63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</row>
    <row r="515" spans="1:11" ht="63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</row>
    <row r="516" spans="1:11" ht="63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</row>
    <row r="517" spans="1:11" ht="63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</row>
    <row r="518" spans="1:11" ht="63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</row>
    <row r="519" spans="1:11" ht="63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</row>
    <row r="520" spans="1:11" ht="63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</row>
    <row r="521" spans="1:11" ht="63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</row>
    <row r="522" spans="1:11" ht="63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</row>
    <row r="523" spans="1:11" ht="63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</row>
    <row r="524" spans="1:11" ht="63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</row>
    <row r="525" spans="1:11" ht="63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</row>
    <row r="526" spans="1:11" ht="63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</row>
    <row r="527" spans="1:11" ht="63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</row>
    <row r="528" spans="1:11" ht="63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</row>
    <row r="529" spans="1:11" ht="63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</row>
    <row r="530" spans="1:11" ht="63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</row>
    <row r="531" spans="1:11" ht="63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</row>
    <row r="532" spans="1:11" ht="63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</row>
    <row r="533" spans="1:11" ht="63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</row>
    <row r="534" spans="1:11" ht="63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</row>
    <row r="535" spans="1:11" ht="63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</row>
    <row r="536" spans="1:11" ht="63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</row>
    <row r="537" spans="1:11" ht="63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</row>
    <row r="538" spans="1:11" ht="63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</row>
    <row r="539" spans="1:11" ht="63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</row>
    <row r="540" spans="1:11" ht="63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</row>
    <row r="541" spans="1:11" ht="63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</row>
    <row r="542" spans="1:11" ht="63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</row>
    <row r="543" spans="1:11" ht="63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</row>
    <row r="544" spans="1:11" ht="63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</row>
    <row r="545" spans="1:11" ht="63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</row>
    <row r="546" spans="1:11" ht="63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</row>
    <row r="547" spans="1:11" ht="63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</row>
    <row r="548" spans="1:11" ht="63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</row>
    <row r="549" spans="1:11" ht="63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</row>
    <row r="550" spans="1:11" ht="63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</row>
    <row r="551" spans="1:11" ht="63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</row>
    <row r="552" spans="1:11" ht="63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</row>
    <row r="553" spans="1:11" ht="63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</row>
    <row r="554" spans="1:11" ht="63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</row>
    <row r="555" spans="1:11" ht="63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</row>
    <row r="556" spans="1:11" ht="63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</row>
    <row r="557" spans="1:11" ht="63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</row>
    <row r="558" spans="1:11" ht="63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</row>
    <row r="559" spans="1:11" ht="63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</row>
    <row r="560" spans="1:11" ht="63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</row>
    <row r="561" spans="1:11" ht="63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</row>
    <row r="562" spans="1:11" ht="63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</row>
    <row r="563" spans="1:11" ht="63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</row>
    <row r="564" spans="1:11" ht="63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</row>
    <row r="565" spans="1:11" ht="63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</row>
    <row r="566" spans="1:11" ht="63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</row>
    <row r="567" spans="1:11" ht="63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</row>
    <row r="568" spans="1:11" ht="63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</row>
    <row r="569" spans="1:11" ht="63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</row>
    <row r="570" spans="1:11" ht="63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</row>
    <row r="571" spans="1:11" ht="63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</row>
    <row r="572" spans="1:11" ht="63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</row>
    <row r="573" spans="1:11" ht="63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</row>
    <row r="574" spans="1:11" ht="63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</row>
    <row r="575" spans="1:11" ht="63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</row>
    <row r="576" spans="1:11" ht="63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</row>
    <row r="577" spans="1:11" ht="63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</row>
    <row r="578" spans="1:11" ht="63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</row>
    <row r="579" spans="1:11" ht="63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</row>
    <row r="580" spans="1:11" ht="63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</row>
    <row r="581" spans="1:11" ht="63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</row>
    <row r="582" spans="1:11" ht="63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</row>
    <row r="583" spans="1:11" ht="63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</row>
    <row r="584" spans="1:11" ht="63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</row>
    <row r="585" spans="1:11" ht="63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</row>
    <row r="586" spans="1:11" ht="63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</row>
    <row r="587" spans="1:11" ht="63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</row>
    <row r="588" spans="1:11" ht="63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</row>
    <row r="589" spans="1:11" ht="63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</row>
    <row r="590" spans="1:11" ht="63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</row>
    <row r="591" spans="1:11" ht="63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</row>
    <row r="592" spans="1:11" ht="63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</row>
    <row r="593" spans="1:11" ht="63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</row>
    <row r="594" spans="1:11" ht="63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</row>
    <row r="595" spans="1:11" ht="63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</row>
    <row r="596" spans="1:11" ht="63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</row>
    <row r="597" spans="1:11" ht="63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</row>
    <row r="598" spans="1:11" ht="63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</row>
    <row r="599" spans="1:11" ht="63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</row>
    <row r="600" spans="1:11" ht="63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</row>
    <row r="601" spans="1:11" ht="63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</row>
    <row r="602" spans="1:11" ht="63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</row>
    <row r="603" spans="1:11" ht="63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</row>
    <row r="604" spans="1:11" ht="63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</row>
    <row r="605" spans="1:11" ht="63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</row>
    <row r="606" spans="1:11" ht="63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</row>
    <row r="607" spans="1:11" ht="63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</row>
    <row r="608" spans="1:11" ht="63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</row>
    <row r="609" spans="1:11" ht="63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</row>
    <row r="610" spans="1:11" ht="63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</row>
    <row r="611" spans="1:11" ht="63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</row>
    <row r="612" spans="1:11" ht="63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</row>
    <row r="613" spans="1:11" ht="63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</row>
    <row r="614" spans="1:11" ht="63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</row>
    <row r="615" spans="1:11" ht="63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</row>
    <row r="616" spans="1:11" ht="63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</row>
    <row r="617" spans="1:11" ht="63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</row>
    <row r="618" spans="1:11" ht="63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</row>
    <row r="619" spans="1:11" ht="63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</row>
    <row r="620" spans="1:11" ht="63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</row>
    <row r="621" spans="1:11" ht="63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</row>
    <row r="622" spans="1:11" ht="63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</row>
    <row r="623" spans="1:11" ht="63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</row>
    <row r="624" spans="1:11" ht="63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</row>
    <row r="625" spans="1:11" ht="63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</row>
    <row r="626" spans="1:11" ht="63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</row>
    <row r="627" spans="1:11" ht="63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</row>
    <row r="628" spans="1:11" ht="63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</row>
    <row r="629" spans="1:11" ht="63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</row>
    <row r="630" spans="1:11" ht="63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</row>
    <row r="631" spans="1:11" ht="63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</row>
    <row r="632" spans="1:11" ht="63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</row>
    <row r="633" spans="1:11" ht="63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</row>
    <row r="634" spans="1:11" ht="63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</row>
    <row r="635" spans="1:11" ht="63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</row>
    <row r="636" spans="1:11" ht="63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</row>
    <row r="637" spans="1:11" ht="63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</row>
    <row r="638" spans="1:11" ht="63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</row>
    <row r="639" spans="1:11" ht="63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</row>
    <row r="640" spans="1:11" ht="63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</row>
    <row r="641" spans="1:11" ht="63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</row>
    <row r="642" spans="1:11" ht="63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</row>
    <row r="643" spans="1:11" ht="63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</row>
    <row r="644" spans="1:11" ht="63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</row>
    <row r="645" spans="1:11" ht="63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</row>
    <row r="646" spans="1:11" ht="63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</row>
    <row r="647" spans="1:11" ht="63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</row>
    <row r="648" spans="1:11" ht="63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</row>
    <row r="649" spans="1:11" ht="63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</row>
    <row r="650" spans="1:11" ht="63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</row>
    <row r="651" spans="1:11" ht="63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</row>
    <row r="652" spans="1:11" ht="63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</row>
    <row r="653" spans="1:11" ht="63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</row>
    <row r="654" spans="1:11" ht="63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</row>
    <row r="655" spans="1:11" ht="63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</row>
    <row r="656" spans="1:11" ht="63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</row>
    <row r="657" spans="1:11" ht="63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</row>
    <row r="658" spans="1:11" ht="63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</row>
    <row r="659" spans="1:11" ht="63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</row>
    <row r="660" spans="1:11" ht="63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</row>
    <row r="661" spans="1:11" ht="63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</row>
    <row r="662" spans="1:11" ht="63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</row>
    <row r="663" spans="1:11" ht="63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</row>
    <row r="664" spans="1:11" ht="63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</row>
    <row r="665" spans="1:11" ht="63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</row>
    <row r="666" spans="1:11" ht="63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</row>
    <row r="667" spans="1:11" ht="63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</row>
    <row r="668" spans="1:11" ht="63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</row>
    <row r="669" spans="1:11" ht="63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</row>
    <row r="670" spans="1:11" ht="63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</row>
    <row r="671" spans="1:11" ht="63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</row>
    <row r="672" spans="1:11" ht="63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</row>
    <row r="673" spans="1:11" ht="63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</row>
    <row r="674" spans="1:11" ht="63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</row>
    <row r="675" spans="1:11" ht="63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</row>
    <row r="676" spans="1:11" ht="63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</row>
    <row r="677" spans="1:11" ht="63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</row>
    <row r="678" spans="1:11" ht="63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</row>
    <row r="679" spans="1:11" ht="63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</row>
    <row r="680" spans="1:11" ht="63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</row>
    <row r="681" spans="1:11" ht="63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</row>
    <row r="682" spans="1:11" ht="63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</row>
    <row r="683" spans="1:11" ht="63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</row>
    <row r="684" spans="1:11" ht="63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</row>
    <row r="685" spans="1:11" ht="63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</row>
    <row r="686" spans="1:11" ht="63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</row>
    <row r="687" spans="1:11" ht="63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</row>
    <row r="688" spans="1:11" ht="63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</row>
    <row r="689" spans="1:11" ht="63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</row>
    <row r="690" spans="1:11" ht="63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</row>
    <row r="691" spans="1:11" ht="63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</row>
    <row r="692" spans="1:11" ht="63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</row>
    <row r="693" spans="1:11" ht="63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</row>
    <row r="694" spans="1:11" ht="63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</row>
    <row r="695" spans="1:11" ht="63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</row>
    <row r="696" spans="1:11" ht="63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</row>
    <row r="697" spans="1:11" ht="63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</row>
    <row r="698" spans="1:11" ht="63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</row>
    <row r="699" spans="1:11" ht="63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</row>
    <row r="700" spans="1:11" ht="63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</row>
    <row r="701" spans="1:11" ht="63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</row>
    <row r="702" spans="1:11" ht="63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</row>
    <row r="703" spans="1:11" ht="63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</row>
    <row r="704" spans="1:11" ht="63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</row>
    <row r="705" spans="1:11" ht="63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</row>
    <row r="706" spans="1:11" ht="63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</row>
    <row r="707" spans="1:11" ht="63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</row>
    <row r="708" spans="1:11" ht="63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</row>
    <row r="709" spans="1:11" ht="63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</row>
    <row r="710" spans="1:11" ht="63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</row>
    <row r="711" spans="1:11" ht="63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</row>
    <row r="712" spans="1:11" ht="63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</row>
    <row r="713" spans="1:11" ht="63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</row>
    <row r="714" spans="1:11" ht="63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</row>
    <row r="715" spans="1:11" ht="63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</row>
    <row r="716" spans="1:11" ht="63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</row>
    <row r="717" spans="1:11" ht="63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</row>
    <row r="718" spans="1:11" ht="63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</row>
    <row r="719" spans="1:11" ht="63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</row>
    <row r="720" spans="1:11" ht="63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</row>
    <row r="721" spans="1:11" ht="63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</row>
    <row r="722" spans="1:11" ht="63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</row>
    <row r="723" spans="1:11" ht="63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</row>
    <row r="724" spans="1:11" ht="63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</row>
    <row r="725" spans="1:11" ht="63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</row>
    <row r="726" spans="1:11" ht="63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</row>
    <row r="727" spans="1:11" ht="63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</row>
    <row r="728" spans="1:11" ht="63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</row>
    <row r="729" spans="1:11" ht="63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</row>
    <row r="730" spans="1:11" ht="63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</row>
    <row r="731" spans="1:11" ht="63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</row>
    <row r="732" spans="1:11" ht="63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</row>
    <row r="733" spans="1:11" ht="63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</row>
    <row r="734" spans="1:11" ht="63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</row>
    <row r="735" spans="1:11" ht="63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</row>
    <row r="736" spans="1:11" ht="63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</row>
    <row r="737" spans="1:11" ht="63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</row>
    <row r="738" spans="1:11" ht="63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</row>
    <row r="739" spans="1:11" ht="63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</row>
    <row r="740" spans="1:11" ht="63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</row>
    <row r="741" spans="1:11" ht="63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</row>
    <row r="742" spans="1:11" ht="63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</row>
    <row r="743" spans="1:11" ht="63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</row>
    <row r="744" spans="1:11" ht="63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</row>
    <row r="745" spans="1:11" ht="63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</row>
    <row r="746" spans="1:11" ht="63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</row>
    <row r="747" spans="1:11" ht="63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</row>
    <row r="748" spans="1:11" ht="63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</row>
    <row r="749" spans="1:11" ht="63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</row>
    <row r="750" spans="1:11" ht="63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</row>
    <row r="751" spans="1:11" ht="63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</row>
    <row r="752" spans="1:11" ht="63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</row>
    <row r="753" spans="1:11" ht="63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</row>
    <row r="754" spans="1:11" ht="63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</row>
    <row r="755" spans="1:11" ht="63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</row>
    <row r="756" spans="1:11" ht="63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</row>
    <row r="757" spans="1:11" ht="63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</row>
    <row r="758" spans="1:11" ht="63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</row>
    <row r="759" spans="1:11" ht="63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</row>
    <row r="760" spans="1:11" ht="63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</row>
    <row r="761" spans="1:11" ht="63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</row>
    <row r="762" spans="1:11" ht="63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</row>
    <row r="763" spans="1:11" ht="63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</row>
    <row r="764" spans="1:11" ht="63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</row>
    <row r="765" spans="1:11" ht="63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</row>
    <row r="766" spans="1:11" ht="63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</row>
    <row r="767" spans="1:11" ht="63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</row>
    <row r="768" spans="1:11" ht="63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</row>
    <row r="769" spans="1:11" ht="63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</row>
    <row r="770" spans="1:11" ht="63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</row>
    <row r="771" spans="1:11" ht="63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</row>
    <row r="772" spans="1:11" ht="63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</row>
    <row r="773" spans="1:11" ht="63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</row>
    <row r="774" spans="1:11" ht="63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</row>
    <row r="775" spans="1:11" ht="63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</row>
    <row r="776" spans="1:11" ht="63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</row>
    <row r="777" spans="1:11" ht="63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</row>
    <row r="778" spans="1:11" ht="63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</row>
    <row r="779" spans="1:11" ht="63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</row>
    <row r="780" spans="1:11" ht="63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</row>
    <row r="781" spans="1:11" ht="63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</row>
    <row r="782" spans="1:11" ht="63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</row>
    <row r="783" spans="1:11" ht="63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</row>
    <row r="784" spans="1:11" ht="63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</row>
    <row r="785" spans="1:11" ht="63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</row>
    <row r="786" spans="1:11" ht="63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</row>
    <row r="787" spans="1:11" ht="63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</row>
    <row r="788" spans="1:11" ht="63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</row>
    <row r="789" spans="1:11" ht="63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</row>
    <row r="790" spans="1:11" ht="63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</row>
    <row r="791" spans="1:11" ht="63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</row>
    <row r="792" spans="1:11" ht="63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</row>
    <row r="793" spans="1:11" ht="63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</row>
    <row r="794" spans="1:11" ht="63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</row>
    <row r="795" spans="1:11" ht="63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</row>
    <row r="796" spans="1:11" ht="63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</row>
    <row r="797" spans="1:11" ht="63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</row>
    <row r="798" spans="1:11" ht="63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</row>
    <row r="799" spans="1:11" ht="63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</row>
    <row r="800" spans="1:11" ht="63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</row>
    <row r="801" spans="1:11" ht="63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</row>
    <row r="802" spans="1:11" ht="63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</row>
    <row r="803" spans="1:11" ht="63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</row>
    <row r="804" spans="1:11" ht="63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</row>
    <row r="805" spans="1:11" ht="63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</row>
    <row r="806" spans="1:11" ht="63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</row>
    <row r="807" spans="1:11" ht="63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</row>
    <row r="808" spans="1:11" ht="63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</row>
    <row r="809" spans="1:11" ht="63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</row>
    <row r="810" spans="1:11" ht="63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</row>
    <row r="811" spans="1:11" ht="63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</row>
    <row r="812" spans="1:11" ht="63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</row>
    <row r="813" spans="1:11" ht="63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</row>
    <row r="814" spans="1:11" ht="63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</row>
    <row r="815" spans="1:11" ht="63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</row>
    <row r="816" spans="1:11" ht="63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</row>
    <row r="817" spans="1:11" ht="63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</row>
    <row r="818" spans="1:11" ht="63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</row>
    <row r="819" spans="1:11" ht="63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</row>
    <row r="820" spans="1:11" ht="63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</row>
    <row r="821" spans="1:11" ht="63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</row>
    <row r="822" spans="1:11" ht="63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</row>
    <row r="823" spans="1:11" ht="63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</row>
    <row r="824" spans="1:11" ht="63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</row>
    <row r="825" spans="1:11" ht="63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</row>
    <row r="826" spans="1:11" ht="63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</row>
    <row r="827" spans="1:11" ht="63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</row>
    <row r="828" spans="1:11" ht="63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</row>
    <row r="829" spans="1:11" ht="63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</row>
    <row r="830" spans="1:11" ht="63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</row>
    <row r="831" spans="1:11" ht="63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</row>
    <row r="832" spans="1:11" ht="63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</row>
    <row r="833" spans="1:11" ht="63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</row>
    <row r="834" spans="1:11" ht="63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</row>
    <row r="835" spans="1:11" ht="63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</row>
    <row r="836" spans="1:11" ht="63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</row>
    <row r="837" spans="1:11" ht="63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</row>
    <row r="838" spans="1:11" ht="63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</row>
    <row r="839" spans="1:11" ht="63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</row>
    <row r="840" spans="1:11" ht="63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</row>
    <row r="841" spans="1:11" ht="63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</row>
    <row r="842" spans="1:11" ht="63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</row>
    <row r="843" spans="1:11" ht="63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</row>
    <row r="844" spans="1:11" ht="63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</row>
    <row r="845" spans="1:11" ht="63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</row>
    <row r="846" spans="1:11" ht="63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</row>
    <row r="847" spans="1:11" ht="63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</row>
    <row r="848" spans="1:11" ht="63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</row>
    <row r="849" spans="1:11" ht="63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</row>
    <row r="850" spans="1:11" ht="63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</row>
    <row r="851" spans="1:11" ht="63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</row>
    <row r="852" spans="1:11" ht="63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</row>
    <row r="853" spans="1:11" ht="63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</row>
    <row r="854" spans="1:11" ht="63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</row>
    <row r="855" spans="1:11" ht="63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</row>
    <row r="856" spans="1:11" ht="63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</row>
    <row r="857" spans="1:11" ht="63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</row>
    <row r="858" spans="1:11" ht="63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</row>
    <row r="859" spans="1:11" ht="63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</row>
    <row r="860" spans="1:11" ht="63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</row>
    <row r="861" spans="1:11" ht="63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</row>
    <row r="862" spans="1:11" ht="63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</row>
    <row r="863" spans="1:11" ht="63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</row>
    <row r="864" spans="1:11" ht="63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</row>
    <row r="865" spans="1:11" ht="63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</row>
    <row r="866" spans="1:11" ht="63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</row>
    <row r="867" spans="1:11" ht="63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</row>
    <row r="868" spans="1:11" ht="63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</row>
    <row r="869" spans="1:11" ht="63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</row>
    <row r="870" spans="1:11" ht="63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</row>
    <row r="871" spans="1:11" ht="63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</row>
    <row r="872" spans="1:11" ht="63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</row>
    <row r="873" spans="1:11" ht="63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</row>
    <row r="874" spans="1:11" ht="63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</row>
    <row r="875" spans="1:11" ht="63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</row>
    <row r="876" spans="1:11" ht="63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</row>
    <row r="877" spans="1:11" ht="63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</row>
    <row r="878" spans="1:11" ht="63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</row>
    <row r="879" spans="1:11" ht="63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</row>
    <row r="880" spans="1:11" ht="63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</row>
    <row r="881" spans="1:11" ht="63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</row>
    <row r="882" spans="1:11" ht="63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</row>
    <row r="883" spans="1:11" ht="63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</row>
    <row r="884" spans="1:11" ht="63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</row>
    <row r="885" spans="1:11" ht="63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</row>
    <row r="886" spans="1:11" ht="63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</row>
    <row r="887" spans="1:11" ht="63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</row>
    <row r="888" spans="1:11" ht="63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</row>
    <row r="889" spans="1:11" ht="63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</row>
    <row r="890" spans="1:11" ht="63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</row>
    <row r="891" spans="1:11" ht="63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</row>
    <row r="892" spans="1:11" ht="63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</row>
    <row r="893" spans="1:11" ht="63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</row>
    <row r="894" spans="1:11" ht="63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</row>
    <row r="895" spans="1:11" ht="63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</row>
    <row r="896" spans="1:11" ht="63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</row>
    <row r="897" spans="1:11" ht="63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</row>
    <row r="898" spans="1:11" ht="63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</row>
    <row r="899" spans="1:11" ht="63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</row>
    <row r="900" spans="1:11" ht="63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</row>
    <row r="901" spans="1:11" ht="63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</row>
    <row r="902" spans="1:11" ht="63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</row>
    <row r="903" spans="1:11" ht="63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</row>
    <row r="904" spans="1:11" ht="63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</row>
    <row r="905" spans="1:11" ht="63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</row>
    <row r="906" spans="1:11" ht="63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</row>
    <row r="907" spans="1:11" ht="63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</row>
    <row r="908" spans="1:11" ht="63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</row>
    <row r="909" spans="1:11" ht="63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</row>
    <row r="910" spans="1:11" ht="63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</row>
    <row r="911" spans="1:11" ht="63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</row>
    <row r="912" spans="1:11" ht="63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</row>
    <row r="913" spans="1:11" ht="63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</row>
    <row r="914" spans="1:11" ht="63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</row>
    <row r="915" spans="1:11" ht="63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</row>
    <row r="916" spans="1:11" ht="63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</row>
    <row r="917" spans="1:11" ht="63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</row>
    <row r="918" spans="1:11" ht="63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</row>
    <row r="919" spans="1:11" ht="63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</row>
    <row r="920" spans="1:11" ht="63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</row>
    <row r="921" spans="1:11" ht="63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</row>
    <row r="922" spans="1:11" ht="63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</row>
    <row r="923" spans="1:11" ht="63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</row>
    <row r="924" spans="1:11" ht="63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</row>
    <row r="925" spans="1:11" ht="63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</row>
    <row r="926" spans="1:11" ht="63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</row>
    <row r="927" spans="1:11" ht="63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</row>
    <row r="928" spans="1:11" ht="63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</row>
    <row r="929" spans="1:11" ht="63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</row>
    <row r="930" spans="1:11" ht="63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</row>
    <row r="931" spans="1:11" ht="63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</row>
    <row r="932" spans="1:11" ht="63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</row>
    <row r="933" spans="1:11" ht="63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</row>
    <row r="934" spans="1:11" ht="63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</row>
    <row r="935" spans="1:11" ht="63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</row>
    <row r="936" spans="1:11" ht="63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</row>
    <row r="937" spans="1:11" ht="63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</row>
    <row r="938" spans="1:11" ht="63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</row>
    <row r="939" spans="1:11" ht="63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</row>
    <row r="940" spans="1:11" ht="63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</row>
    <row r="941" spans="1:11" ht="63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</row>
    <row r="942" spans="1:11" ht="63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</row>
    <row r="943" spans="1:11" ht="63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</row>
    <row r="944" spans="1:11" ht="63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</row>
    <row r="945" spans="1:11" ht="63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</row>
    <row r="946" spans="1:11" ht="63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</row>
    <row r="947" spans="1:11" ht="63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</row>
    <row r="948" spans="1:11" ht="63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</row>
    <row r="949" spans="1:11" ht="63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</row>
    <row r="950" spans="1:11" ht="63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</row>
    <row r="951" spans="1:11" ht="63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</row>
    <row r="952" spans="1:11" ht="63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</row>
    <row r="953" spans="1:11" ht="63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</row>
    <row r="954" spans="1:11" ht="63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</row>
    <row r="955" spans="1:11" ht="63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</row>
    <row r="956" spans="1:11" ht="63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</row>
    <row r="957" spans="1:11" ht="63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</row>
    <row r="958" spans="1:11" ht="63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</row>
    <row r="959" spans="1:11" ht="63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</row>
    <row r="960" spans="1:11" ht="63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</row>
    <row r="961" spans="1:11" ht="63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</row>
    <row r="962" spans="1:11" ht="63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</row>
    <row r="963" spans="1:11" ht="63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</row>
    <row r="964" spans="1:11" ht="63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</row>
    <row r="965" spans="1:11" ht="63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</row>
    <row r="966" spans="1:11" ht="63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</row>
    <row r="967" spans="1:11" ht="63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</row>
    <row r="968" spans="1:11" ht="63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</row>
    <row r="969" spans="1:11" ht="63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</row>
    <row r="970" spans="1:11" ht="63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</row>
    <row r="971" spans="1:11" ht="63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</row>
    <row r="972" spans="1:11" ht="63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</row>
    <row r="973" spans="1:11" ht="63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</row>
    <row r="974" spans="1:11" ht="63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</row>
    <row r="975" spans="1:11" ht="63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</row>
    <row r="976" spans="1:11" ht="63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</row>
    <row r="977" spans="1:11" ht="63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</row>
    <row r="978" spans="1:11" ht="63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</row>
    <row r="979" spans="1:11" ht="63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</row>
    <row r="980" spans="1:11" ht="63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</row>
    <row r="981" spans="1:11" ht="63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</row>
    <row r="982" spans="1:11" ht="63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</row>
    <row r="983" spans="1:11" ht="63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</row>
    <row r="984" spans="1:11" ht="63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</row>
    <row r="985" spans="1:11" ht="63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</row>
    <row r="986" spans="1:11" ht="63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</row>
    <row r="987" spans="1:11" ht="63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</row>
    <row r="988" spans="1:11" ht="63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</row>
    <row r="989" spans="1:11" ht="63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</row>
    <row r="990" spans="1:11" ht="63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</row>
    <row r="991" spans="1:11" ht="63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</row>
    <row r="992" spans="1:11" ht="63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</row>
  </sheetData>
  <mergeCells count="42">
    <mergeCell ref="B19:K19"/>
    <mergeCell ref="A17:F17"/>
    <mergeCell ref="G17:I17"/>
    <mergeCell ref="J17:K17"/>
    <mergeCell ref="A18:F18"/>
    <mergeCell ref="G18:I18"/>
    <mergeCell ref="J18:K18"/>
    <mergeCell ref="A1:K1"/>
    <mergeCell ref="A2:K2"/>
    <mergeCell ref="A3:E3"/>
    <mergeCell ref="G3:G9"/>
    <mergeCell ref="I3:K3"/>
    <mergeCell ref="I4:K4"/>
    <mergeCell ref="I5:K5"/>
    <mergeCell ref="G15:I15"/>
    <mergeCell ref="J15:K15"/>
    <mergeCell ref="A16:F16"/>
    <mergeCell ref="B4:C4"/>
    <mergeCell ref="A7:F7"/>
    <mergeCell ref="I7:K7"/>
    <mergeCell ref="A8:F8"/>
    <mergeCell ref="J8:K8"/>
    <mergeCell ref="E11:F11"/>
    <mergeCell ref="E12:F12"/>
    <mergeCell ref="E14:F14"/>
    <mergeCell ref="E15:F15"/>
    <mergeCell ref="G12:I12"/>
    <mergeCell ref="J12:K12"/>
    <mergeCell ref="G16:I16"/>
    <mergeCell ref="J16:K16"/>
    <mergeCell ref="A12:A13"/>
    <mergeCell ref="J13:K13"/>
    <mergeCell ref="E13:F13"/>
    <mergeCell ref="G13:I13"/>
    <mergeCell ref="G14:I14"/>
    <mergeCell ref="J14:K14"/>
    <mergeCell ref="I9:K9"/>
    <mergeCell ref="B10:F10"/>
    <mergeCell ref="G10:K10"/>
    <mergeCell ref="C11:D11"/>
    <mergeCell ref="G11:I11"/>
    <mergeCell ref="J11:K11"/>
  </mergeCells>
  <phoneticPr fontId="17" type="noConversion"/>
  <printOptions horizontalCentered="1"/>
  <pageMargins left="0.25" right="0.25" top="0.75" bottom="0.75" header="0" footer="0"/>
  <pageSetup paperSize="9"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최종 견적서_YYMMDD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glory kim</cp:lastModifiedBy>
  <dcterms:created xsi:type="dcterms:W3CDTF">2026-03-30T15:39:05Z</dcterms:created>
  <dcterms:modified xsi:type="dcterms:W3CDTF">2026-03-30T15:39:05Z</dcterms:modified>
</cp:coreProperties>
</file>