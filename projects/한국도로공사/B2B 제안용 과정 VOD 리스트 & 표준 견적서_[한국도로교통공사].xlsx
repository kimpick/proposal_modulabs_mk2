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제공 가능 VOD 리스트" sheetId="1" r:id="rId5"/>
    <sheet state="visible" name="견적안 1) 선택 수강형" sheetId="2" r:id="rId6"/>
    <sheet state="visible" name="견적안 2) 구독형" sheetId="3" r:id="rId7"/>
    <sheet state="visible" name="견적안 3) 과정 임대형" sheetId="4" r:id="rId8"/>
  </sheets>
  <definedNames>
    <definedName hidden="1" localSheetId="0" name="_xlnm._FilterDatabase">'제공 가능 VOD 리스트'!$A$1:$I$7</definedName>
  </definedNames>
  <calcPr/>
</workbook>
</file>

<file path=xl/sharedStrings.xml><?xml version="1.0" encoding="utf-8"?>
<sst xmlns="http://schemas.openxmlformats.org/spreadsheetml/2006/main" count="201" uniqueCount="86">
  <si>
    <t>순번</t>
  </si>
  <si>
    <t>과정명</t>
  </si>
  <si>
    <t>수강 대상</t>
  </si>
  <si>
    <t>난이도</t>
  </si>
  <si>
    <t>카테고리</t>
  </si>
  <si>
    <t>과정 개요</t>
  </si>
  <si>
    <t>상세 커리큘럼</t>
  </si>
  <si>
    <t>강사명</t>
  </si>
  <si>
    <t>정가</t>
  </si>
  <si>
    <t>직장인을 위한 AI 윤리: 신뢰할 수 있는 AI 활용법</t>
  </si>
  <si>
    <t>전 직군</t>
  </si>
  <si>
    <t>입문</t>
  </si>
  <si>
    <t>AI 리터러시</t>
  </si>
  <si>
    <t>법적·기술적 관점에서 AI 윤리와 거버넌스 원칙을 이해하고, 신뢰 가능한 AI 관리 프로세스를 수립하는 필수 소양 과정</t>
  </si>
  <si>
    <t>직장인을 위한 AI 윤리</t>
  </si>
  <si>
    <t>한서우, 이루다</t>
  </si>
  <si>
    <t>[첫걸음] 파이썬에 도전하자! 기초부터 프로그래밍까지</t>
  </si>
  <si>
    <t>데이터 분석가, 인공지능 개발자</t>
  </si>
  <si>
    <t>AI / Data 기초</t>
  </si>
  <si>
    <t>파이썬 기초 문법 체득 및 객체 지향 프로그래밍 기반의 실전 프로젝트 완성 과정</t>
  </si>
  <si>
    <t>차정은</t>
  </si>
  <si>
    <t>AI와 함께 코딩하자! 인공지능/데이터 커리어 첫걸음</t>
  </si>
  <si>
    <t>전 직군, 기획자</t>
  </si>
  <si>
    <t>중급</t>
  </si>
  <si>
    <t>인공지능 개발</t>
  </si>
  <si>
    <t>바이브 코딩 기반의 인공지능 풀사이클 경험 및 비전공자 맞춤형 데이터·머신러닝·딥러닝 입문 과정</t>
  </si>
  <si>
    <t>박기웅, 차정은, 박형철</t>
  </si>
  <si>
    <t>[AI 능력자] 바이브 코딩 with Cursor: 챗봇, DB 배포까지</t>
  </si>
  <si>
    <t>마케터, 기획자, 인공지능 개발자</t>
  </si>
  <si>
    <t>고급</t>
  </si>
  <si>
    <t>바이브 코딩</t>
  </si>
  <si>
    <t>회원 인증부터 DB 연동, 관리자 대시보드까지 포함된 상용 수준의 AI 서비스를 구축하는 심화 과정</t>
  </si>
  <si>
    <t>김정현</t>
  </si>
  <si>
    <t>[왕초보] 비개발자도 할 수 있는 바이브 코딩 웹 개발</t>
  </si>
  <si>
    <t>초급</t>
  </si>
  <si>
    <t>코딩 지식 없이도 개인 포트폴리오부터 웹 인터랙션 구현, GitHub 버전 관리까지 경험하는 비전공자 입문 과정</t>
  </si>
  <si>
    <t>배인진(아이비)</t>
  </si>
  <si>
    <t>[AI 능력자] 비개발자도 할 수 있는 바이브 코딩 업무 자동화</t>
  </si>
  <si>
    <t>엑셀 보고서 생성, 파일 정리, 웹 크롤링, OCR 문서 추출 등 사무 업무를 스스로 자동화하는 비개발자 실무 과정</t>
  </si>
  <si>
    <t>김우현(비현코)</t>
  </si>
  <si>
    <t>견  적  서</t>
  </si>
  <si>
    <t>공
급
자</t>
  </si>
  <si>
    <t>등록번호</t>
  </si>
  <si>
    <t>517-88-00184</t>
  </si>
  <si>
    <t>26.03.06</t>
  </si>
  <si>
    <t>대표이사</t>
  </si>
  <si>
    <t>김 승 일      (인)</t>
  </si>
  <si>
    <t>고객사 명</t>
  </si>
  <si>
    <t>사업장
소재지</t>
  </si>
  <si>
    <t>서울시 강남구 강남대로 324 역삼디오슈페리움 2층, 201, 202호</t>
  </si>
  <si>
    <t>업태</t>
  </si>
  <si>
    <t>교육 
서비스업</t>
  </si>
  <si>
    <t>종  목</t>
  </si>
  <si>
    <t>경영컨설팅</t>
  </si>
  <si>
    <t xml:space="preserve">아래와 같이 견적을 드립니다. </t>
  </si>
  <si>
    <t>전화번호</t>
  </si>
  <si>
    <t>070-7743-5882</t>
  </si>
  <si>
    <t>견적 유효일 - 견적일로부터 30일</t>
  </si>
  <si>
    <t>담당자</t>
  </si>
  <si>
    <t>하자혜</t>
  </si>
  <si>
    <t>class@modulabs.co.kr</t>
  </si>
  <si>
    <t>연락처</t>
  </si>
  <si>
    <t>010-7206-2452</t>
  </si>
  <si>
    <t>합  계</t>
  </si>
  <si>
    <t>금사백육십만오천백오십원정</t>
  </si>
  <si>
    <t>비 목</t>
  </si>
  <si>
    <t>세 목</t>
  </si>
  <si>
    <t>단  가</t>
  </si>
  <si>
    <t>할 인 가</t>
  </si>
  <si>
    <t>수 강  인 원</t>
  </si>
  <si>
    <t>수 강 료</t>
  </si>
  <si>
    <t>수강료</t>
  </si>
  <si>
    <t>소계</t>
  </si>
  <si>
    <t>부가세(10%)</t>
  </si>
  <si>
    <t>견적 금액</t>
  </si>
  <si>
    <t>비고</t>
  </si>
  <si>
    <t>- 본 견적은 선택 수강형(Per Seat) 기준으로 산정되었습니다.
- 과정별 1인 단가 기준으로 수강 인원 수 만큼 과금됩니다.
- 수강 인원 변경, 할인가 협의 시 총 금액은 변동될 수 있습니다.
- 각 과정은 VOD 강의, 교안 및 실습 자료를 포함합니다.
- 수강 기간 및 운영 방식은 협의를 통해 조정 가능합니다.
- 별도의 커스터마이징(기업 맞춤 과정, 오프라인 교육 등)이 필요한 경우 추가 비용이 발생할 수 있습니다.
- 귀 기관의 교육 발전에 기여할 수 있기를 바라며, 상기와 같이 견적을 드리오니 문의사항이 있으실 경우 연락 주시기 바랍니다.</t>
  </si>
  <si>
    <t>금삼백삼십만원정</t>
  </si>
  <si>
    <t>구독가</t>
  </si>
  <si>
    <t>- 본 견적은 구독형(Subscription) 기준으로 산정되었습니다.
- 계약 기간 동안 선택된 과정에 대해 자유롭게 수강이 가능합니다.
- 구독료는 수강 인원 및 제공 과정 수를 기준으로 산정되었습니다.
- 수강 인원 변경 또는 제공 과정 수 조정 시 총 금액은 변동될 수 있습니다.
- 각 과정은 VOD 강의, 교안 및 실습 자료를 포함합니다.
- 구독 기간 종료 후 수강 권한은 자동 종료됩니다.
- 수강 기간 및 운영 방식은 협의를 통해 조정 가능합니다.
- 별도의 커스터마이징(기업 맞춤 과정, 오프라인 교육 등)이 필요한 경우 추가 비용이 발생할 수 있습니다.
- 귀 기관의 교육 발전에 기여할 수 있기를 바라며, 상기와 같이 견적을 드리오니 문의사항이 있으실 경우 연락 주시기 바랍니다.</t>
  </si>
  <si>
    <t>금이천사백칠십오만원정</t>
  </si>
  <si>
    <t>개 별  단 가</t>
  </si>
  <si>
    <t>임 대  구 독 가</t>
  </si>
  <si>
    <t>임 대 개 월</t>
  </si>
  <si>
    <t>6개월</t>
  </si>
  <si>
    <t>- 본 견적은 과정 임대형(라이선스형) 기준으로 산정되었습니다.
- 계약 기간 동안 해당 과정을 기관 단위로 자유롭게 수강할 수 있으며, 수강 인원 제한은 없습니다.
- 제공 기간은 6개월 기준이며, 기간에 대한 협의 가능합니다.
- 각 과정은 VOD 강의, 교안 및 실습 자료를 포함합니다.
- 과정은 귀 기관 내부 임직원에 한하여 사용 가능하며, 외부 공유 및 재배포는 제한됩니다.
- 수강 운영 방식(LMS 연동, 계정 발급 등)은 협의를 통해 조정 가능합니다.
- 별도의 커스터마이징(기업 맞춤 과정, 오프라인 교육 등)이 필요한 경우 추가 비용이 발생할 수 있습니다.
- 귀 기관의 교육 발전에 기여할 수 있기를 바라며, 상기와 같이 견적을 드리오니 문의사항이 있으실 경우 연락 주시기 바랍니다.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</si>
</sst>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[$₩-412]* #,##0_);_([$₩-412]* \(#,##0\);_([$₩-412]* &quot;-&quot;??_);_(@_)"/>
    <numFmt numFmtId="165" formatCode="[DBNum4]&quot;금&quot;\ [$-412]General\ &quot;원&quot;"/>
    <numFmt numFmtId="166" formatCode="\(&quot;₩&quot;\ #,##0\ \V\A\T&quot;포&quot;&quot;함&quot;\)_)"/>
    <numFmt numFmtId="167" formatCode="[$₩]#,##0"/>
  </numFmts>
  <fonts count="17">
    <font>
      <sz val="10.0"/>
      <color rgb="FF000000"/>
      <name val="Arial"/>
      <scheme val="minor"/>
    </font>
    <font>
      <b/>
      <sz val="11.0"/>
      <color theme="1"/>
      <name val="Malgun Gothic"/>
    </font>
    <font>
      <sz val="10.0"/>
      <color rgb="FF434343"/>
      <name val="Malgun Gothic"/>
    </font>
    <font>
      <b/>
      <sz val="11.0"/>
      <color rgb="FF434343"/>
      <name val="Malgun Gothic"/>
    </font>
    <font>
      <sz val="11.0"/>
      <color rgb="FF434343"/>
      <name val="Malgun Gothic"/>
    </font>
    <font>
      <color rgb="FF434343"/>
      <name val="Malgun Gothic"/>
    </font>
    <font>
      <u/>
      <color rgb="FF434343"/>
      <name val="Malgun Gothic"/>
    </font>
    <font>
      <b/>
      <sz val="22.0"/>
      <color theme="1"/>
      <name val="Malgun Gothic"/>
    </font>
    <font/>
    <font>
      <sz val="10.0"/>
      <color theme="1"/>
      <name val="Malgun Gothic"/>
    </font>
    <font>
      <b/>
      <sz val="11.0"/>
      <color rgb="FFFF0000"/>
      <name val="Malgun Gothic"/>
    </font>
    <font>
      <sz val="9.0"/>
      <color theme="1"/>
      <name val="Malgun Gothic"/>
    </font>
    <font>
      <sz val="10.0"/>
      <color rgb="FF000000"/>
      <name val="Malgun Gothic"/>
    </font>
    <font>
      <b/>
      <sz val="12.0"/>
      <color theme="1"/>
      <name val="Malgun Gothic"/>
    </font>
    <font>
      <b/>
      <u/>
      <sz val="12.0"/>
      <color theme="1"/>
      <name val="Malgun Gothic"/>
    </font>
    <font>
      <b/>
      <u/>
      <sz val="12.0"/>
      <color theme="1"/>
      <name val="Malgun Gothic"/>
    </font>
    <font>
      <b/>
      <sz val="10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45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ck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bottom style="dotted">
        <color rgb="FF000000"/>
      </bottom>
    </border>
    <border>
      <left style="dotted">
        <color rgb="FF000000"/>
      </left>
      <right style="thick">
        <color rgb="FF000000"/>
      </right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right style="thick">
        <color rgb="FF000000"/>
      </right>
    </border>
    <border>
      <left style="dotted">
        <color rgb="FF000000"/>
      </left>
      <top style="dotted">
        <color rgb="FF000000"/>
      </top>
    </border>
    <border>
      <right style="dotted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2" fontId="2" numFmtId="0" xfId="0" applyAlignment="1" applyFill="1" applyFont="1">
      <alignment horizontal="center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4" numFmtId="0" xfId="0" applyAlignment="1" applyFont="1">
      <alignment horizontal="center" readingOrder="0" shrinkToFit="0" vertical="center" wrapText="0"/>
    </xf>
    <xf borderId="0" fillId="2" fontId="5" numFmtId="164" xfId="0" applyAlignment="1" applyFont="1" applyNumberFormat="1">
      <alignment horizontal="left" readingOrder="0" shrinkToFit="0" vertical="center" wrapText="0"/>
    </xf>
    <xf borderId="0" fillId="2" fontId="6" numFmtId="164" xfId="0" applyAlignment="1" applyFont="1" applyNumberFormat="1">
      <alignment horizontal="left" readingOrder="0" shrinkToFit="0" vertical="center" wrapText="0"/>
    </xf>
    <xf borderId="0" fillId="2" fontId="3" numFmtId="0" xfId="0" applyAlignment="1" applyFont="1">
      <alignment horizontal="center" shrinkToFit="0" vertical="center" wrapText="0"/>
    </xf>
    <xf borderId="0" fillId="2" fontId="4" numFmtId="0" xfId="0" applyAlignment="1" applyFont="1">
      <alignment shrinkToFit="0" vertical="center" wrapText="0"/>
    </xf>
    <xf borderId="0" fillId="2" fontId="4" numFmtId="3" xfId="0" applyAlignment="1" applyFont="1" applyNumberFormat="1">
      <alignment horizontal="center" shrinkToFit="0" vertical="center" wrapText="0"/>
    </xf>
    <xf borderId="0" fillId="2" fontId="4" numFmtId="0" xfId="0" applyAlignment="1" applyFont="1">
      <alignment horizontal="center" shrinkToFit="0" vertical="center" wrapText="0"/>
    </xf>
    <xf borderId="0" fillId="2" fontId="5" numFmtId="164" xfId="0" applyAlignment="1" applyFont="1" applyNumberFormat="1">
      <alignment horizontal="left" shrinkToFit="0" vertical="center" wrapText="0"/>
    </xf>
    <xf borderId="0" fillId="2" fontId="4" numFmtId="0" xfId="0" applyAlignment="1" applyFont="1">
      <alignment horizontal="center" shrinkToFit="0" vertical="center" wrapText="0"/>
    </xf>
    <xf borderId="0" fillId="2" fontId="4" numFmtId="3" xfId="0" applyAlignment="1" applyFont="1" applyNumberFormat="1">
      <alignment horizontal="center" shrinkToFit="0" vertical="center" wrapText="0"/>
    </xf>
    <xf borderId="1" fillId="0" fontId="7" numFmtId="0" xfId="0" applyAlignment="1" applyBorder="1" applyFont="1">
      <alignment horizontal="center" vertical="center"/>
    </xf>
    <xf borderId="2" fillId="0" fontId="8" numFmtId="0" xfId="0" applyBorder="1" applyFont="1"/>
    <xf borderId="3" fillId="0" fontId="8" numFmtId="0" xfId="0" applyBorder="1" applyFont="1"/>
    <xf borderId="4" fillId="0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5" fillId="0" fontId="9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shrinkToFit="1" vertical="center" wrapText="0"/>
    </xf>
    <xf borderId="8" fillId="0" fontId="8" numFmtId="0" xfId="0" applyBorder="1" applyFont="1"/>
    <xf borderId="9" fillId="0" fontId="8" numFmtId="0" xfId="0" applyBorder="1" applyFont="1"/>
    <xf borderId="8" fillId="3" fontId="10" numFmtId="0" xfId="0" applyAlignment="1" applyBorder="1" applyFill="1" applyFont="1">
      <alignment horizontal="center" readingOrder="0" vertical="center"/>
    </xf>
    <xf borderId="10" fillId="0" fontId="8" numFmtId="0" xfId="0" applyBorder="1" applyFont="1"/>
    <xf borderId="11" fillId="0" fontId="9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left" shrinkToFit="0" vertical="center" wrapText="1"/>
    </xf>
    <xf borderId="11" fillId="0" fontId="11" numFmtId="0" xfId="0" applyAlignment="1" applyBorder="1" applyFont="1">
      <alignment horizontal="center" shrinkToFit="1" vertical="center" wrapText="0"/>
    </xf>
    <xf borderId="12" fillId="0" fontId="9" numFmtId="0" xfId="0" applyAlignment="1" applyBorder="1" applyFont="1">
      <alignment horizontal="center" shrinkToFit="1" vertical="center" wrapText="0"/>
    </xf>
    <xf borderId="13" fillId="0" fontId="8" numFmtId="0" xfId="0" applyBorder="1" applyFont="1"/>
    <xf borderId="14" fillId="0" fontId="9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shrinkToFit="1" vertical="center" wrapText="0"/>
    </xf>
    <xf borderId="16" fillId="0" fontId="8" numFmtId="0" xfId="0" applyBorder="1" applyFont="1"/>
    <xf borderId="17" fillId="0" fontId="8" numFmtId="0" xfId="0" applyBorder="1" applyFont="1"/>
    <xf borderId="4" fillId="0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1" vertical="center" wrapText="0"/>
    </xf>
    <xf borderId="7" fillId="0" fontId="12" numFmtId="0" xfId="0" applyAlignment="1" applyBorder="1" applyFont="1">
      <alignment horizontal="center" shrinkToFit="1" vertical="center" wrapText="0"/>
    </xf>
    <xf borderId="18" fillId="0" fontId="8" numFmtId="0" xfId="0" applyBorder="1" applyFont="1"/>
    <xf borderId="19" fillId="0" fontId="8" numFmtId="0" xfId="0" applyBorder="1" applyFont="1"/>
    <xf borderId="20" fillId="0" fontId="8" numFmtId="0" xfId="0" applyBorder="1" applyFont="1"/>
    <xf borderId="21" fillId="0" fontId="8" numFmtId="0" xfId="0" applyBorder="1" applyFont="1"/>
    <xf borderId="22" fillId="4" fontId="13" numFmtId="0" xfId="0" applyAlignment="1" applyBorder="1" applyFill="1" applyFont="1">
      <alignment horizontal="center" shrinkToFit="0" vertical="center" wrapText="1"/>
    </xf>
    <xf borderId="7" fillId="4" fontId="14" numFmtId="165" xfId="0" applyAlignment="1" applyBorder="1" applyFont="1" applyNumberFormat="1">
      <alignment horizontal="center" readingOrder="0" vertical="center"/>
    </xf>
    <xf borderId="23" fillId="4" fontId="15" numFmtId="166" xfId="0" applyAlignment="1" applyBorder="1" applyFont="1" applyNumberFormat="1">
      <alignment horizontal="center" vertical="center"/>
    </xf>
    <xf borderId="22" fillId="4" fontId="13" numFmtId="0" xfId="0" applyAlignment="1" applyBorder="1" applyFont="1">
      <alignment horizontal="center" vertical="center"/>
    </xf>
    <xf borderId="7" fillId="4" fontId="13" numFmtId="0" xfId="0" applyAlignment="1" applyBorder="1" applyFont="1">
      <alignment horizontal="center" vertical="center"/>
    </xf>
    <xf borderId="6" fillId="0" fontId="8" numFmtId="0" xfId="0" applyBorder="1" applyFont="1"/>
    <xf borderId="7" fillId="4" fontId="13" numFmtId="0" xfId="0" applyAlignment="1" applyBorder="1" applyFont="1">
      <alignment horizontal="center" readingOrder="0" vertical="center"/>
    </xf>
    <xf borderId="12" fillId="4" fontId="13" numFmtId="0" xfId="0" applyAlignment="1" applyBorder="1" applyFont="1">
      <alignment horizontal="center" readingOrder="0" vertical="center"/>
    </xf>
    <xf borderId="24" fillId="0" fontId="16" numFmtId="0" xfId="0" applyAlignment="1" applyBorder="1" applyFont="1">
      <alignment horizontal="center" vertical="center"/>
    </xf>
    <xf borderId="25" fillId="0" fontId="9" numFmtId="0" xfId="0" applyAlignment="1" applyBorder="1" applyFont="1">
      <alignment horizontal="center" readingOrder="0" shrinkToFit="0" vertical="center" wrapText="1"/>
    </xf>
    <xf borderId="26" fillId="0" fontId="8" numFmtId="0" xfId="0" applyBorder="1" applyFont="1"/>
    <xf borderId="27" fillId="0" fontId="9" numFmtId="164" xfId="0" applyAlignment="1" applyBorder="1" applyFont="1" applyNumberFormat="1">
      <alignment horizontal="center" readingOrder="0" vertical="center"/>
    </xf>
    <xf borderId="28" fillId="0" fontId="8" numFmtId="0" xfId="0" applyBorder="1" applyFont="1"/>
    <xf borderId="29" fillId="0" fontId="8" numFmtId="0" xfId="0" applyBorder="1" applyFont="1"/>
    <xf borderId="27" fillId="0" fontId="11" numFmtId="0" xfId="0" applyAlignment="1" applyBorder="1" applyFont="1">
      <alignment horizontal="center" readingOrder="0" shrinkToFit="0" vertical="center" wrapText="1"/>
    </xf>
    <xf borderId="30" fillId="0" fontId="11" numFmtId="164" xfId="0" applyAlignment="1" applyBorder="1" applyFont="1" applyNumberFormat="1">
      <alignment horizontal="center" readingOrder="0" shrinkToFit="0" vertical="center" wrapText="1"/>
    </xf>
    <xf borderId="25" fillId="0" fontId="9" numFmtId="0" xfId="0" applyAlignment="1" applyBorder="1" applyFont="1">
      <alignment horizontal="center" shrinkToFit="0" vertical="center" wrapText="1"/>
    </xf>
    <xf borderId="31" fillId="0" fontId="9" numFmtId="164" xfId="0" applyAlignment="1" applyBorder="1" applyFont="1" applyNumberFormat="1">
      <alignment horizontal="center" vertical="center"/>
    </xf>
    <xf borderId="32" fillId="0" fontId="8" numFmtId="0" xfId="0" applyBorder="1" applyFont="1"/>
    <xf borderId="31" fillId="0" fontId="11" numFmtId="0" xfId="0" applyAlignment="1" applyBorder="1" applyFont="1">
      <alignment horizontal="center" readingOrder="0" shrinkToFit="0" vertical="center" wrapText="1"/>
    </xf>
    <xf borderId="33" fillId="0" fontId="11" numFmtId="164" xfId="0" applyAlignment="1" applyBorder="1" applyFont="1" applyNumberFormat="1">
      <alignment horizontal="center" readingOrder="0" shrinkToFit="0" vertical="center" wrapText="1"/>
    </xf>
    <xf borderId="31" fillId="0" fontId="9" numFmtId="164" xfId="0" applyAlignment="1" applyBorder="1" applyFont="1" applyNumberFormat="1">
      <alignment horizontal="center" readingOrder="0" vertical="center"/>
    </xf>
    <xf borderId="34" fillId="0" fontId="8" numFmtId="0" xfId="0" applyBorder="1" applyFont="1"/>
    <xf borderId="35" fillId="4" fontId="13" numFmtId="0" xfId="0" applyAlignment="1" applyBorder="1" applyFont="1">
      <alignment horizontal="center" vertical="center"/>
    </xf>
    <xf borderId="12" fillId="4" fontId="13" numFmtId="167" xfId="0" applyAlignment="1" applyBorder="1" applyFont="1" applyNumberFormat="1">
      <alignment horizontal="center" vertical="center"/>
    </xf>
    <xf borderId="36" fillId="0" fontId="16" numFmtId="0" xfId="0" applyAlignment="1" applyBorder="1" applyFont="1">
      <alignment horizontal="center" shrinkToFit="0" vertical="center" wrapText="1"/>
    </xf>
    <xf borderId="37" fillId="0" fontId="16" numFmtId="0" xfId="0" applyAlignment="1" applyBorder="1" applyFont="1">
      <alignment horizontal="left" readingOrder="0" shrinkToFit="0" vertical="center" wrapText="1"/>
    </xf>
    <xf borderId="38" fillId="0" fontId="8" numFmtId="0" xfId="0" applyBorder="1" applyFont="1"/>
    <xf borderId="39" fillId="0" fontId="8" numFmtId="0" xfId="0" applyBorder="1" applyFont="1"/>
    <xf borderId="40" fillId="0" fontId="9" numFmtId="164" xfId="0" applyAlignment="1" applyBorder="1" applyFont="1" applyNumberFormat="1">
      <alignment horizontal="center" readingOrder="0" vertical="center"/>
    </xf>
    <xf borderId="41" fillId="0" fontId="8" numFmtId="0" xfId="0" applyBorder="1" applyFont="1"/>
    <xf borderId="40" fillId="0" fontId="11" numFmtId="0" xfId="0" applyAlignment="1" applyBorder="1" applyFont="1">
      <alignment horizontal="center" readingOrder="0" shrinkToFit="0" vertical="center" wrapText="1"/>
    </xf>
    <xf borderId="42" fillId="0" fontId="11" numFmtId="164" xfId="0" applyAlignment="1" applyBorder="1" applyFont="1" applyNumberFormat="1">
      <alignment horizontal="center" readingOrder="0" shrinkToFit="0" vertical="center" wrapText="1"/>
    </xf>
    <xf borderId="40" fillId="0" fontId="8" numFmtId="0" xfId="0" applyBorder="1" applyFont="1"/>
    <xf borderId="42" fillId="0" fontId="8" numFmtId="0" xfId="0" applyBorder="1" applyFont="1"/>
    <xf borderId="27" fillId="0" fontId="8" numFmtId="0" xfId="0" applyBorder="1" applyFont="1"/>
    <xf borderId="30" fillId="0" fontId="8" numFmtId="0" xfId="0" applyBorder="1" applyFont="1"/>
    <xf borderId="43" fillId="0" fontId="11" numFmtId="0" xfId="0" applyAlignment="1" applyBorder="1" applyFont="1">
      <alignment horizontal="center" readingOrder="0" shrinkToFit="0" vertical="center" wrapText="1"/>
    </xf>
    <xf borderId="44" fillId="0" fontId="8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제공 가능 VOD 리스트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657225</xdr:colOff>
      <xdr:row>0</xdr:row>
      <xdr:rowOff>9525</xdr:rowOff>
    </xdr:from>
    <xdr:ext cx="1581150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600075</xdr:colOff>
      <xdr:row>1</xdr:row>
      <xdr:rowOff>304800</xdr:rowOff>
    </xdr:from>
    <xdr:ext cx="438150" cy="4857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657225</xdr:colOff>
      <xdr:row>0</xdr:row>
      <xdr:rowOff>9525</xdr:rowOff>
    </xdr:from>
    <xdr:ext cx="1581150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600075</xdr:colOff>
      <xdr:row>1</xdr:row>
      <xdr:rowOff>304800</xdr:rowOff>
    </xdr:from>
    <xdr:ext cx="438150" cy="4857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657225</xdr:colOff>
      <xdr:row>0</xdr:row>
      <xdr:rowOff>9525</xdr:rowOff>
    </xdr:from>
    <xdr:ext cx="1581150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600075</xdr:colOff>
      <xdr:row>1</xdr:row>
      <xdr:rowOff>304800</xdr:rowOff>
    </xdr:from>
    <xdr:ext cx="438150" cy="4857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7" displayName="과정_목록" name="과정_목록" id="1">
  <autoFilter ref="$A$1:$I$7"/>
  <tableColumns count="9">
    <tableColumn name="순번" id="1"/>
    <tableColumn name="과정명" id="2"/>
    <tableColumn name="수강 대상" id="3"/>
    <tableColumn name="난이도" id="4"/>
    <tableColumn name="카테고리" id="5"/>
    <tableColumn name="과정 개요" id="6"/>
    <tableColumn name="상세 커리큘럼" id="7"/>
    <tableColumn name="강사명" id="8"/>
    <tableColumn name="정가" id="9"/>
  </tableColumns>
  <tableStyleInfo name="제공 가능 VOD 리스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HMEgIQn2ZLvds7FPcmyH4qes5-H-ugGakuF-9-4E1E/edit?usp=drive_link" TargetMode="External"/><Relationship Id="rId2" Type="http://schemas.openxmlformats.org/officeDocument/2006/relationships/hyperlink" Target="https://docs.google.com/spreadsheets/d/19JYSZkJDYzsPIRAeUUHhF8I3uKV7t2o3AbzPnU0Dk6Q/edit?gid=234164836" TargetMode="External"/><Relationship Id="rId3" Type="http://schemas.openxmlformats.org/officeDocument/2006/relationships/hyperlink" Target="https://docs.google.com/spreadsheets/d/17xkD35FkC0zidQJQB17-RID5tHF0_wWnw6mp3k6pTT8/edit?gid=1724209780" TargetMode="External"/><Relationship Id="rId4" Type="http://schemas.openxmlformats.org/officeDocument/2006/relationships/hyperlink" Target="https://docs.google.com/spreadsheets/d/1bHRak-2DXVYPeslpPZumyRpSOJoqw7MMrwRGEwTE7fo/edit?usp=drive_link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docs.google.com/spreadsheets/d/146ksSu8juFj7iSyKaR0ZmdvHKEb8zAaYOxhOkkchTuk/edit?usp=drive_link" TargetMode="External"/><Relationship Id="rId6" Type="http://schemas.openxmlformats.org/officeDocument/2006/relationships/hyperlink" Target="https://docs.google.com/spreadsheets/d/1C-SC8G4JEaFJlZ1hLSxHl8oo-paQ8Dd_TJRxoKi3qPE/edit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8.88"/>
    <col customWidth="1" min="2" max="2" width="64.0"/>
    <col customWidth="1" min="3" max="3" width="36.25"/>
    <col customWidth="1" min="4" max="5" width="20.63"/>
    <col customWidth="1" min="6" max="6" width="91.88"/>
    <col customWidth="1" min="7" max="7" width="42.63"/>
    <col customWidth="1" min="8" max="8" width="20.88"/>
    <col customWidth="1" min="9" max="9" width="12.1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22.5" customHeight="1">
      <c r="A2" s="3">
        <f t="shared" ref="A2:A7" si="1">row()-1</f>
        <v>1</v>
      </c>
      <c r="B2" s="4" t="s">
        <v>9</v>
      </c>
      <c r="C2" s="5" t="s">
        <v>10</v>
      </c>
      <c r="D2" s="6" t="s">
        <v>11</v>
      </c>
      <c r="E2" s="6" t="s">
        <v>12</v>
      </c>
      <c r="F2" s="7" t="s">
        <v>13</v>
      </c>
      <c r="G2" s="8" t="s">
        <v>14</v>
      </c>
      <c r="H2" s="7" t="s">
        <v>15</v>
      </c>
      <c r="I2" s="7">
        <v>150000.0</v>
      </c>
    </row>
    <row r="3" ht="22.5" customHeight="1">
      <c r="A3" s="3">
        <f t="shared" si="1"/>
        <v>2</v>
      </c>
      <c r="B3" s="9" t="s">
        <v>16</v>
      </c>
      <c r="C3" s="10" t="s">
        <v>17</v>
      </c>
      <c r="D3" s="11" t="s">
        <v>11</v>
      </c>
      <c r="E3" s="12" t="s">
        <v>18</v>
      </c>
      <c r="F3" s="13" t="s">
        <v>19</v>
      </c>
      <c r="G3" s="8" t="s">
        <v>16</v>
      </c>
      <c r="H3" s="13" t="s">
        <v>20</v>
      </c>
      <c r="I3" s="13">
        <v>179000.0</v>
      </c>
    </row>
    <row r="4" ht="22.5" customHeight="1">
      <c r="A4" s="3">
        <f t="shared" si="1"/>
        <v>3</v>
      </c>
      <c r="B4" s="9" t="s">
        <v>21</v>
      </c>
      <c r="C4" s="10" t="s">
        <v>22</v>
      </c>
      <c r="D4" s="14" t="s">
        <v>23</v>
      </c>
      <c r="E4" s="12" t="s">
        <v>24</v>
      </c>
      <c r="F4" s="13" t="s">
        <v>25</v>
      </c>
      <c r="G4" s="8" t="s">
        <v>21</v>
      </c>
      <c r="H4" s="13" t="s">
        <v>26</v>
      </c>
      <c r="I4" s="13">
        <v>200000.0</v>
      </c>
    </row>
    <row r="5" ht="22.5" customHeight="1">
      <c r="A5" s="3">
        <f t="shared" si="1"/>
        <v>4</v>
      </c>
      <c r="B5" s="9" t="s">
        <v>27</v>
      </c>
      <c r="C5" s="10" t="s">
        <v>28</v>
      </c>
      <c r="D5" s="15" t="s">
        <v>29</v>
      </c>
      <c r="E5" s="14" t="s">
        <v>30</v>
      </c>
      <c r="F5" s="13" t="s">
        <v>31</v>
      </c>
      <c r="G5" s="8" t="s">
        <v>27</v>
      </c>
      <c r="H5" s="13" t="s">
        <v>32</v>
      </c>
      <c r="I5" s="13">
        <v>179000.0</v>
      </c>
    </row>
    <row r="6" ht="22.5" customHeight="1">
      <c r="A6" s="3">
        <f t="shared" si="1"/>
        <v>5</v>
      </c>
      <c r="B6" s="9" t="s">
        <v>33</v>
      </c>
      <c r="C6" s="10" t="s">
        <v>10</v>
      </c>
      <c r="D6" s="15" t="s">
        <v>34</v>
      </c>
      <c r="E6" s="14" t="s">
        <v>30</v>
      </c>
      <c r="F6" s="13" t="s">
        <v>35</v>
      </c>
      <c r="G6" s="8" t="s">
        <v>33</v>
      </c>
      <c r="H6" s="13" t="s">
        <v>36</v>
      </c>
      <c r="I6" s="13">
        <v>237000.0</v>
      </c>
    </row>
    <row r="7" ht="22.5" customHeight="1">
      <c r="A7" s="3">
        <f t="shared" si="1"/>
        <v>6</v>
      </c>
      <c r="B7" s="9" t="s">
        <v>37</v>
      </c>
      <c r="C7" s="10" t="s">
        <v>10</v>
      </c>
      <c r="D7" s="15" t="s">
        <v>34</v>
      </c>
      <c r="E7" s="14" t="s">
        <v>30</v>
      </c>
      <c r="F7" s="13" t="s">
        <v>38</v>
      </c>
      <c r="G7" s="8" t="s">
        <v>37</v>
      </c>
      <c r="H7" s="13" t="s">
        <v>39</v>
      </c>
      <c r="I7" s="13">
        <v>254100.0</v>
      </c>
    </row>
  </sheetData>
  <dataValidations>
    <dataValidation type="list" allowBlank="1" sqref="C2:C7">
      <formula1>"전 직군,마케터,디자이너,데이터 분석가,기획자,인공지능 개발자"</formula1>
    </dataValidation>
    <dataValidation type="custom" allowBlank="1" showDropDown="1" sqref="I2:I7">
      <formula1>AND(ISNUMBER(I2),(NOT(OR(NOT(ISERROR(DATEVALUE(I2))), AND(ISNUMBER(I2), LEFT(CELL("format", I2))="D")))))</formula1>
    </dataValidation>
    <dataValidation type="list" allowBlank="1" sqref="D2:D7">
      <formula1>"입문,초급,중급,고급"</formula1>
    </dataValidation>
    <dataValidation type="list" allowBlank="1" sqref="E2:E7">
      <formula1>"AI 리터러시,AI / Data 기초,인공지능 개발,데이터 분석,바이브 코딩"</formula1>
    </dataValidation>
  </dataValidations>
  <hyperlinks>
    <hyperlink r:id="rId1" ref="G2"/>
    <hyperlink r:id="rId2" location="gid=234164836" ref="G3"/>
    <hyperlink r:id="rId3" location="gid=1724209780" ref="G4"/>
    <hyperlink r:id="rId4" ref="G5"/>
    <hyperlink r:id="rId5" ref="G6"/>
    <hyperlink r:id="rId6" ref="G7"/>
  </hyperlinks>
  <printOptions gridLines="1" horizontalCentered="1"/>
  <pageMargins bottom="1.0" footer="0.0" header="0.0" left="1.0" right="1.0" top="1.0"/>
  <pageSetup fitToHeight="0" paperSize="9" cellComments="atEnd" orientation="landscape" pageOrder="overThenDown"/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181C9"/>
    <pageSetUpPr fitToPage="1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4.5"/>
    <col customWidth="1" min="3" max="3" width="44.0"/>
    <col customWidth="1" min="4" max="5" width="8.88"/>
    <col customWidth="1" min="6" max="6" width="4.0"/>
    <col customWidth="1" min="7" max="7" width="8.25"/>
    <col customWidth="1" min="8" max="8" width="6.25"/>
    <col customWidth="1" min="9" max="10" width="8.38"/>
    <col customWidth="1" min="11" max="11" width="16.0"/>
    <col customWidth="1" min="12" max="12" width="3.88"/>
  </cols>
  <sheetData>
    <row r="1" ht="58.5" customHeight="1">
      <c r="A1" s="16" t="s">
        <v>40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ht="27.75" customHeight="1">
      <c r="A2" s="19"/>
      <c r="E2" s="20"/>
      <c r="F2" s="21" t="s">
        <v>41</v>
      </c>
      <c r="G2" s="22" t="s">
        <v>42</v>
      </c>
      <c r="H2" s="23" t="s">
        <v>43</v>
      </c>
      <c r="I2" s="24"/>
      <c r="J2" s="24"/>
      <c r="K2" s="25"/>
    </row>
    <row r="3" ht="27.75" customHeight="1">
      <c r="A3" s="19"/>
      <c r="B3" s="26" t="s">
        <v>44</v>
      </c>
      <c r="C3" s="24"/>
      <c r="D3" s="20"/>
      <c r="E3" s="20"/>
      <c r="F3" s="27"/>
      <c r="G3" s="28" t="s">
        <v>45</v>
      </c>
      <c r="H3" s="23" t="s">
        <v>46</v>
      </c>
      <c r="I3" s="24"/>
      <c r="J3" s="24"/>
      <c r="K3" s="25"/>
    </row>
    <row r="4" ht="27.75" customHeight="1">
      <c r="A4" s="19"/>
      <c r="B4" s="26" t="s">
        <v>47</v>
      </c>
      <c r="C4" s="24"/>
      <c r="D4" s="20"/>
      <c r="E4" s="20"/>
      <c r="F4" s="27"/>
      <c r="G4" s="29" t="s">
        <v>48</v>
      </c>
      <c r="H4" s="30" t="s">
        <v>49</v>
      </c>
      <c r="I4" s="24"/>
      <c r="J4" s="24"/>
      <c r="K4" s="25"/>
    </row>
    <row r="5" ht="27.75" customHeight="1">
      <c r="A5" s="19"/>
      <c r="B5" s="20"/>
      <c r="C5" s="20"/>
      <c r="D5" s="20"/>
      <c r="E5" s="20"/>
      <c r="F5" s="27"/>
      <c r="G5" s="22" t="s">
        <v>50</v>
      </c>
      <c r="H5" s="31" t="s">
        <v>51</v>
      </c>
      <c r="I5" s="28"/>
      <c r="J5" s="28" t="s">
        <v>52</v>
      </c>
      <c r="K5" s="32" t="s">
        <v>53</v>
      </c>
    </row>
    <row r="6" ht="27.75" customHeight="1">
      <c r="A6" s="19" t="s">
        <v>54</v>
      </c>
      <c r="E6" s="33"/>
      <c r="F6" s="27"/>
      <c r="G6" s="34" t="s">
        <v>55</v>
      </c>
      <c r="H6" s="35" t="s">
        <v>56</v>
      </c>
      <c r="I6" s="36"/>
      <c r="J6" s="36"/>
      <c r="K6" s="37"/>
    </row>
    <row r="7" ht="27.75" customHeight="1">
      <c r="A7" s="38" t="s">
        <v>57</v>
      </c>
      <c r="E7" s="33"/>
      <c r="F7" s="27"/>
      <c r="G7" s="28" t="s">
        <v>58</v>
      </c>
      <c r="H7" s="39" t="s">
        <v>59</v>
      </c>
      <c r="I7" s="40"/>
      <c r="J7" s="40" t="s">
        <v>60</v>
      </c>
      <c r="K7" s="25"/>
    </row>
    <row r="8" ht="27.75" customHeight="1">
      <c r="A8" s="41"/>
      <c r="B8" s="42"/>
      <c r="C8" s="42"/>
      <c r="D8" s="42"/>
      <c r="E8" s="43"/>
      <c r="F8" s="44"/>
      <c r="G8" s="28" t="s">
        <v>61</v>
      </c>
      <c r="H8" s="23" t="s">
        <v>62</v>
      </c>
      <c r="I8" s="24"/>
      <c r="J8" s="24"/>
      <c r="K8" s="25"/>
    </row>
    <row r="9" ht="46.5" customHeight="1">
      <c r="A9" s="45" t="s">
        <v>63</v>
      </c>
      <c r="B9" s="46" t="s">
        <v>64</v>
      </c>
      <c r="C9" s="24"/>
      <c r="D9" s="24"/>
      <c r="E9" s="24"/>
      <c r="F9" s="47">
        <f>K19</f>
        <v>5208500</v>
      </c>
      <c r="G9" s="24"/>
      <c r="H9" s="24"/>
      <c r="I9" s="24"/>
      <c r="J9" s="24"/>
      <c r="K9" s="25"/>
    </row>
    <row r="10" ht="32.25" customHeight="1">
      <c r="A10" s="48" t="s">
        <v>65</v>
      </c>
      <c r="B10" s="49" t="s">
        <v>66</v>
      </c>
      <c r="C10" s="50"/>
      <c r="D10" s="49" t="s">
        <v>67</v>
      </c>
      <c r="E10" s="50"/>
      <c r="F10" s="51" t="s">
        <v>68</v>
      </c>
      <c r="G10" s="24"/>
      <c r="H10" s="50"/>
      <c r="I10" s="51" t="s">
        <v>69</v>
      </c>
      <c r="J10" s="50"/>
      <c r="K10" s="52" t="s">
        <v>70</v>
      </c>
    </row>
    <row r="11" ht="37.5" customHeight="1">
      <c r="A11" s="53" t="s">
        <v>71</v>
      </c>
      <c r="B11" s="54" t="s">
        <v>9</v>
      </c>
      <c r="C11" s="55"/>
      <c r="D11" s="56">
        <v>150000.0</v>
      </c>
      <c r="E11" s="57"/>
      <c r="F11" s="56">
        <v>0.0</v>
      </c>
      <c r="G11" s="58"/>
      <c r="H11" s="57"/>
      <c r="I11" s="59">
        <v>30.0</v>
      </c>
      <c r="J11" s="57"/>
      <c r="K11" s="60">
        <f t="shared" ref="K11:K16" si="1">F11*I11</f>
        <v>0</v>
      </c>
    </row>
    <row r="12" ht="37.5" customHeight="1">
      <c r="A12" s="53" t="s">
        <v>71</v>
      </c>
      <c r="B12" s="61" t="s">
        <v>16</v>
      </c>
      <c r="C12" s="55"/>
      <c r="D12" s="62">
        <v>179000.0</v>
      </c>
      <c r="E12" s="63"/>
      <c r="F12" s="56">
        <v>0.0</v>
      </c>
      <c r="G12" s="58"/>
      <c r="H12" s="57"/>
      <c r="I12" s="64">
        <v>10.0</v>
      </c>
      <c r="J12" s="63"/>
      <c r="K12" s="65">
        <f t="shared" si="1"/>
        <v>0</v>
      </c>
    </row>
    <row r="13" ht="37.5" customHeight="1">
      <c r="A13" s="53" t="s">
        <v>71</v>
      </c>
      <c r="B13" s="61" t="s">
        <v>21</v>
      </c>
      <c r="C13" s="55"/>
      <c r="D13" s="62">
        <v>200000.0</v>
      </c>
      <c r="E13" s="63"/>
      <c r="F13" s="66">
        <v>69000.0</v>
      </c>
      <c r="G13" s="67"/>
      <c r="H13" s="63"/>
      <c r="I13" s="64">
        <v>10.0</v>
      </c>
      <c r="J13" s="63"/>
      <c r="K13" s="65">
        <f t="shared" si="1"/>
        <v>690000</v>
      </c>
    </row>
    <row r="14" ht="37.5" customHeight="1">
      <c r="A14" s="53" t="s">
        <v>71</v>
      </c>
      <c r="B14" s="61" t="s">
        <v>27</v>
      </c>
      <c r="C14" s="55"/>
      <c r="D14" s="62">
        <v>179000.0</v>
      </c>
      <c r="E14" s="63"/>
      <c r="F14" s="66">
        <v>59000.0</v>
      </c>
      <c r="G14" s="67"/>
      <c r="H14" s="63"/>
      <c r="I14" s="64">
        <v>15.0</v>
      </c>
      <c r="J14" s="63"/>
      <c r="K14" s="65">
        <f t="shared" si="1"/>
        <v>885000</v>
      </c>
    </row>
    <row r="15" ht="37.5" customHeight="1">
      <c r="A15" s="53" t="s">
        <v>71</v>
      </c>
      <c r="B15" s="61" t="s">
        <v>33</v>
      </c>
      <c r="C15" s="55"/>
      <c r="D15" s="62">
        <v>237000.0</v>
      </c>
      <c r="E15" s="63"/>
      <c r="F15" s="66">
        <v>79000.0</v>
      </c>
      <c r="G15" s="67"/>
      <c r="H15" s="63"/>
      <c r="I15" s="64">
        <v>30.0</v>
      </c>
      <c r="J15" s="63"/>
      <c r="K15" s="65">
        <f t="shared" si="1"/>
        <v>2370000</v>
      </c>
    </row>
    <row r="16" ht="37.5" customHeight="1">
      <c r="A16" s="53" t="s">
        <v>71</v>
      </c>
      <c r="B16" s="61" t="s">
        <v>37</v>
      </c>
      <c r="C16" s="55"/>
      <c r="D16" s="62">
        <v>254100.0</v>
      </c>
      <c r="E16" s="63"/>
      <c r="F16" s="66">
        <v>79000.0</v>
      </c>
      <c r="G16" s="67"/>
      <c r="H16" s="63"/>
      <c r="I16" s="64">
        <v>10.0</v>
      </c>
      <c r="J16" s="63"/>
      <c r="K16" s="65">
        <f t="shared" si="1"/>
        <v>790000</v>
      </c>
    </row>
    <row r="17" ht="33.0" customHeight="1">
      <c r="A17" s="68" t="s">
        <v>72</v>
      </c>
      <c r="B17" s="24"/>
      <c r="C17" s="24"/>
      <c r="D17" s="24"/>
      <c r="E17" s="24"/>
      <c r="F17" s="24"/>
      <c r="G17" s="24"/>
      <c r="H17" s="24"/>
      <c r="I17" s="24"/>
      <c r="J17" s="50"/>
      <c r="K17" s="69">
        <f>SUM(K11:K16)</f>
        <v>4735000</v>
      </c>
    </row>
    <row r="18" ht="33.0" customHeight="1">
      <c r="A18" s="68" t="s">
        <v>73</v>
      </c>
      <c r="B18" s="24"/>
      <c r="C18" s="24"/>
      <c r="D18" s="24"/>
      <c r="E18" s="24"/>
      <c r="F18" s="24"/>
      <c r="G18" s="24"/>
      <c r="H18" s="24"/>
      <c r="I18" s="24"/>
      <c r="J18" s="50"/>
      <c r="K18" s="69">
        <f>K17*0.1</f>
        <v>473500</v>
      </c>
    </row>
    <row r="19" ht="33.0" customHeight="1">
      <c r="A19" s="68" t="s">
        <v>74</v>
      </c>
      <c r="B19" s="24"/>
      <c r="C19" s="24"/>
      <c r="D19" s="24"/>
      <c r="E19" s="24"/>
      <c r="F19" s="24"/>
      <c r="G19" s="24"/>
      <c r="H19" s="24"/>
      <c r="I19" s="24"/>
      <c r="J19" s="50"/>
      <c r="K19" s="69">
        <f>SUM(K17:K18)</f>
        <v>5208500</v>
      </c>
    </row>
    <row r="20" ht="143.25" customHeight="1">
      <c r="A20" s="70" t="s">
        <v>75</v>
      </c>
      <c r="B20" s="71" t="s">
        <v>76</v>
      </c>
      <c r="C20" s="72"/>
      <c r="D20" s="72"/>
      <c r="E20" s="72"/>
      <c r="F20" s="72"/>
      <c r="G20" s="72"/>
      <c r="H20" s="72"/>
      <c r="I20" s="72"/>
      <c r="J20" s="72"/>
      <c r="K20" s="73"/>
    </row>
    <row r="21" ht="22.5" customHeight="1"/>
  </sheetData>
  <mergeCells count="47">
    <mergeCell ref="B4:C4"/>
    <mergeCell ref="A6:E6"/>
    <mergeCell ref="J7:K7"/>
    <mergeCell ref="H8:K8"/>
    <mergeCell ref="F9:K9"/>
    <mergeCell ref="F10:H10"/>
    <mergeCell ref="I10:J10"/>
    <mergeCell ref="F11:H11"/>
    <mergeCell ref="I11:J11"/>
    <mergeCell ref="A1:K1"/>
    <mergeCell ref="A2:D2"/>
    <mergeCell ref="F2:F8"/>
    <mergeCell ref="H2:K2"/>
    <mergeCell ref="H3:K3"/>
    <mergeCell ref="H4:K4"/>
    <mergeCell ref="H6:K6"/>
    <mergeCell ref="B3:C3"/>
    <mergeCell ref="A7:E8"/>
    <mergeCell ref="B9:E9"/>
    <mergeCell ref="B10:C10"/>
    <mergeCell ref="D10:E10"/>
    <mergeCell ref="B11:C11"/>
    <mergeCell ref="D11:E11"/>
    <mergeCell ref="B12:C12"/>
    <mergeCell ref="D12:E12"/>
    <mergeCell ref="F12:H12"/>
    <mergeCell ref="I12:J12"/>
    <mergeCell ref="D13:E13"/>
    <mergeCell ref="F13:H13"/>
    <mergeCell ref="I13:J13"/>
    <mergeCell ref="F15:H15"/>
    <mergeCell ref="I15:J15"/>
    <mergeCell ref="B16:C16"/>
    <mergeCell ref="D16:E16"/>
    <mergeCell ref="F16:H16"/>
    <mergeCell ref="I16:J16"/>
    <mergeCell ref="A17:J17"/>
    <mergeCell ref="A18:J18"/>
    <mergeCell ref="A19:J19"/>
    <mergeCell ref="B20:K20"/>
    <mergeCell ref="B13:C13"/>
    <mergeCell ref="B14:C14"/>
    <mergeCell ref="D14:E14"/>
    <mergeCell ref="F14:H14"/>
    <mergeCell ref="I14:J14"/>
    <mergeCell ref="B15:C15"/>
    <mergeCell ref="D15:E15"/>
  </mergeCells>
  <printOptions horizontalCentered="1"/>
  <pageMargins bottom="0.3937007874015748" footer="0.0" header="0.0" left="0.3937007874015748" right="0.3937007874015748" top="0.5905511811023623"/>
  <pageSetup fitToWidth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181C9"/>
    <pageSetUpPr fitToPage="1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4.5"/>
    <col customWidth="1" min="3" max="3" width="44.0"/>
    <col customWidth="1" min="4" max="5" width="8.88"/>
    <col customWidth="1" min="6" max="6" width="4.0"/>
    <col customWidth="1" min="7" max="7" width="8.25"/>
    <col customWidth="1" min="8" max="8" width="6.25"/>
    <col customWidth="1" min="9" max="10" width="8.38"/>
    <col customWidth="1" min="11" max="11" width="16.0"/>
    <col customWidth="1" min="12" max="12" width="3.88"/>
  </cols>
  <sheetData>
    <row r="1" ht="58.5" customHeight="1">
      <c r="A1" s="16" t="s">
        <v>40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ht="27.75" customHeight="1">
      <c r="A2" s="19"/>
      <c r="E2" s="20"/>
      <c r="F2" s="21" t="s">
        <v>41</v>
      </c>
      <c r="G2" s="22" t="s">
        <v>42</v>
      </c>
      <c r="H2" s="23" t="s">
        <v>43</v>
      </c>
      <c r="I2" s="24"/>
      <c r="J2" s="24"/>
      <c r="K2" s="25"/>
    </row>
    <row r="3" ht="27.75" customHeight="1">
      <c r="A3" s="19"/>
      <c r="B3" s="26" t="s">
        <v>44</v>
      </c>
      <c r="C3" s="24"/>
      <c r="D3" s="20"/>
      <c r="E3" s="20"/>
      <c r="F3" s="27"/>
      <c r="G3" s="28" t="s">
        <v>45</v>
      </c>
      <c r="H3" s="23" t="s">
        <v>46</v>
      </c>
      <c r="I3" s="24"/>
      <c r="J3" s="24"/>
      <c r="K3" s="25"/>
    </row>
    <row r="4" ht="27.75" customHeight="1">
      <c r="A4" s="19"/>
      <c r="B4" s="26" t="s">
        <v>47</v>
      </c>
      <c r="C4" s="24"/>
      <c r="D4" s="20"/>
      <c r="E4" s="20"/>
      <c r="F4" s="27"/>
      <c r="G4" s="29" t="s">
        <v>48</v>
      </c>
      <c r="H4" s="30" t="s">
        <v>49</v>
      </c>
      <c r="I4" s="24"/>
      <c r="J4" s="24"/>
      <c r="K4" s="25"/>
    </row>
    <row r="5" ht="27.75" customHeight="1">
      <c r="A5" s="19"/>
      <c r="B5" s="20"/>
      <c r="C5" s="20"/>
      <c r="D5" s="20"/>
      <c r="E5" s="20"/>
      <c r="F5" s="27"/>
      <c r="G5" s="22" t="s">
        <v>50</v>
      </c>
      <c r="H5" s="31" t="s">
        <v>51</v>
      </c>
      <c r="I5" s="28"/>
      <c r="J5" s="28" t="s">
        <v>52</v>
      </c>
      <c r="K5" s="32" t="s">
        <v>53</v>
      </c>
    </row>
    <row r="6" ht="27.75" customHeight="1">
      <c r="A6" s="19" t="s">
        <v>54</v>
      </c>
      <c r="E6" s="33"/>
      <c r="F6" s="27"/>
      <c r="G6" s="34" t="s">
        <v>55</v>
      </c>
      <c r="H6" s="35" t="s">
        <v>56</v>
      </c>
      <c r="I6" s="36"/>
      <c r="J6" s="36"/>
      <c r="K6" s="37"/>
    </row>
    <row r="7" ht="27.75" customHeight="1">
      <c r="A7" s="38" t="s">
        <v>57</v>
      </c>
      <c r="E7" s="33"/>
      <c r="F7" s="27"/>
      <c r="G7" s="28" t="s">
        <v>58</v>
      </c>
      <c r="H7" s="39" t="s">
        <v>59</v>
      </c>
      <c r="I7" s="40"/>
      <c r="J7" s="40" t="s">
        <v>60</v>
      </c>
      <c r="K7" s="25"/>
    </row>
    <row r="8" ht="27.75" customHeight="1">
      <c r="A8" s="41"/>
      <c r="B8" s="42"/>
      <c r="C8" s="42"/>
      <c r="D8" s="42"/>
      <c r="E8" s="43"/>
      <c r="F8" s="44"/>
      <c r="G8" s="28" t="s">
        <v>61</v>
      </c>
      <c r="H8" s="23" t="s">
        <v>62</v>
      </c>
      <c r="I8" s="24"/>
      <c r="J8" s="24"/>
      <c r="K8" s="25"/>
    </row>
    <row r="9" ht="46.5" customHeight="1">
      <c r="A9" s="45" t="s">
        <v>63</v>
      </c>
      <c r="B9" s="46" t="s">
        <v>77</v>
      </c>
      <c r="C9" s="24"/>
      <c r="D9" s="24"/>
      <c r="E9" s="24"/>
      <c r="F9" s="47">
        <f>K19</f>
        <v>3300000</v>
      </c>
      <c r="G9" s="24"/>
      <c r="H9" s="24"/>
      <c r="I9" s="24"/>
      <c r="J9" s="24"/>
      <c r="K9" s="25"/>
    </row>
    <row r="10" ht="32.25" customHeight="1">
      <c r="A10" s="48" t="s">
        <v>65</v>
      </c>
      <c r="B10" s="49" t="s">
        <v>66</v>
      </c>
      <c r="C10" s="50"/>
      <c r="D10" s="49" t="s">
        <v>67</v>
      </c>
      <c r="E10" s="50"/>
      <c r="F10" s="51" t="s">
        <v>78</v>
      </c>
      <c r="G10" s="24"/>
      <c r="H10" s="50"/>
      <c r="I10" s="51" t="s">
        <v>69</v>
      </c>
      <c r="J10" s="50"/>
      <c r="K10" s="52" t="s">
        <v>70</v>
      </c>
    </row>
    <row r="11" ht="37.5" customHeight="1">
      <c r="A11" s="53" t="s">
        <v>71</v>
      </c>
      <c r="B11" s="54" t="s">
        <v>9</v>
      </c>
      <c r="C11" s="55"/>
      <c r="D11" s="56">
        <v>150000.0</v>
      </c>
      <c r="E11" s="57"/>
      <c r="F11" s="74">
        <v>100000.0</v>
      </c>
      <c r="H11" s="75"/>
      <c r="I11" s="76">
        <v>30.0</v>
      </c>
      <c r="J11" s="75"/>
      <c r="K11" s="77">
        <f>F11*I11</f>
        <v>3000000</v>
      </c>
    </row>
    <row r="12" ht="37.5" customHeight="1">
      <c r="A12" s="53" t="s">
        <v>71</v>
      </c>
      <c r="B12" s="61" t="s">
        <v>16</v>
      </c>
      <c r="C12" s="55"/>
      <c r="D12" s="62">
        <v>179000.0</v>
      </c>
      <c r="E12" s="63"/>
      <c r="F12" s="78"/>
      <c r="H12" s="75"/>
      <c r="I12" s="78"/>
      <c r="J12" s="75"/>
      <c r="K12" s="79"/>
    </row>
    <row r="13" ht="37.5" customHeight="1">
      <c r="A13" s="53" t="s">
        <v>71</v>
      </c>
      <c r="B13" s="61" t="s">
        <v>21</v>
      </c>
      <c r="C13" s="55"/>
      <c r="D13" s="62">
        <v>200000.0</v>
      </c>
      <c r="E13" s="63"/>
      <c r="F13" s="78"/>
      <c r="H13" s="75"/>
      <c r="I13" s="78"/>
      <c r="J13" s="75"/>
      <c r="K13" s="79"/>
    </row>
    <row r="14" ht="37.5" customHeight="1">
      <c r="A14" s="53" t="s">
        <v>71</v>
      </c>
      <c r="B14" s="61" t="s">
        <v>27</v>
      </c>
      <c r="C14" s="55"/>
      <c r="D14" s="62">
        <v>179000.0</v>
      </c>
      <c r="E14" s="63"/>
      <c r="F14" s="78"/>
      <c r="H14" s="75"/>
      <c r="I14" s="78"/>
      <c r="J14" s="75"/>
      <c r="K14" s="79"/>
    </row>
    <row r="15" ht="37.5" customHeight="1">
      <c r="A15" s="53" t="s">
        <v>71</v>
      </c>
      <c r="B15" s="61" t="s">
        <v>33</v>
      </c>
      <c r="C15" s="55"/>
      <c r="D15" s="62">
        <v>237000.0</v>
      </c>
      <c r="E15" s="63"/>
      <c r="F15" s="78"/>
      <c r="H15" s="75"/>
      <c r="I15" s="78"/>
      <c r="J15" s="75"/>
      <c r="K15" s="79"/>
    </row>
    <row r="16" ht="37.5" customHeight="1">
      <c r="A16" s="53" t="s">
        <v>71</v>
      </c>
      <c r="B16" s="61" t="s">
        <v>37</v>
      </c>
      <c r="C16" s="55"/>
      <c r="D16" s="62">
        <v>254100.0</v>
      </c>
      <c r="E16" s="63"/>
      <c r="F16" s="80"/>
      <c r="G16" s="58"/>
      <c r="H16" s="57"/>
      <c r="I16" s="80"/>
      <c r="J16" s="57"/>
      <c r="K16" s="81"/>
    </row>
    <row r="17" ht="33.0" customHeight="1">
      <c r="A17" s="68" t="s">
        <v>72</v>
      </c>
      <c r="B17" s="24"/>
      <c r="C17" s="24"/>
      <c r="D17" s="24"/>
      <c r="E17" s="24"/>
      <c r="F17" s="24"/>
      <c r="G17" s="24"/>
      <c r="H17" s="24"/>
      <c r="I17" s="24"/>
      <c r="J17" s="50"/>
      <c r="K17" s="69">
        <f>SUM(K11:K16)</f>
        <v>3000000</v>
      </c>
    </row>
    <row r="18" ht="33.0" customHeight="1">
      <c r="A18" s="68" t="s">
        <v>73</v>
      </c>
      <c r="B18" s="24"/>
      <c r="C18" s="24"/>
      <c r="D18" s="24"/>
      <c r="E18" s="24"/>
      <c r="F18" s="24"/>
      <c r="G18" s="24"/>
      <c r="H18" s="24"/>
      <c r="I18" s="24"/>
      <c r="J18" s="50"/>
      <c r="K18" s="69">
        <f>K17*0.1</f>
        <v>300000</v>
      </c>
    </row>
    <row r="19" ht="33.0" customHeight="1">
      <c r="A19" s="68" t="s">
        <v>74</v>
      </c>
      <c r="B19" s="24"/>
      <c r="C19" s="24"/>
      <c r="D19" s="24"/>
      <c r="E19" s="24"/>
      <c r="F19" s="24"/>
      <c r="G19" s="24"/>
      <c r="H19" s="24"/>
      <c r="I19" s="24"/>
      <c r="J19" s="50"/>
      <c r="K19" s="69">
        <f>SUM(K17:K18)</f>
        <v>3300000</v>
      </c>
    </row>
    <row r="20" ht="143.25" customHeight="1">
      <c r="A20" s="70" t="s">
        <v>75</v>
      </c>
      <c r="B20" s="71" t="s">
        <v>79</v>
      </c>
      <c r="C20" s="72"/>
      <c r="D20" s="72"/>
      <c r="E20" s="72"/>
      <c r="F20" s="72"/>
      <c r="G20" s="72"/>
      <c r="H20" s="72"/>
      <c r="I20" s="72"/>
      <c r="J20" s="72"/>
      <c r="K20" s="73"/>
    </row>
    <row r="21" ht="22.5" customHeight="1"/>
  </sheetData>
  <mergeCells count="38">
    <mergeCell ref="B4:C4"/>
    <mergeCell ref="A6:E6"/>
    <mergeCell ref="J7:K7"/>
    <mergeCell ref="H8:K8"/>
    <mergeCell ref="F9:K9"/>
    <mergeCell ref="F10:H10"/>
    <mergeCell ref="I10:J10"/>
    <mergeCell ref="F11:H16"/>
    <mergeCell ref="I11:J16"/>
    <mergeCell ref="K11:K16"/>
    <mergeCell ref="A1:K1"/>
    <mergeCell ref="A2:D2"/>
    <mergeCell ref="F2:F8"/>
    <mergeCell ref="H2:K2"/>
    <mergeCell ref="H3:K3"/>
    <mergeCell ref="H4:K4"/>
    <mergeCell ref="H6:K6"/>
    <mergeCell ref="B3:C3"/>
    <mergeCell ref="A7:E8"/>
    <mergeCell ref="B9:E9"/>
    <mergeCell ref="B10:C10"/>
    <mergeCell ref="D10:E10"/>
    <mergeCell ref="B11:C11"/>
    <mergeCell ref="D11:E11"/>
    <mergeCell ref="B15:C15"/>
    <mergeCell ref="B16:C16"/>
    <mergeCell ref="A17:J17"/>
    <mergeCell ref="A18:J18"/>
    <mergeCell ref="A19:J19"/>
    <mergeCell ref="B20:K20"/>
    <mergeCell ref="B12:C12"/>
    <mergeCell ref="D12:E12"/>
    <mergeCell ref="B13:C13"/>
    <mergeCell ref="D13:E13"/>
    <mergeCell ref="B14:C14"/>
    <mergeCell ref="D14:E14"/>
    <mergeCell ref="D15:E15"/>
    <mergeCell ref="D16:E16"/>
  </mergeCells>
  <printOptions horizontalCentered="1"/>
  <pageMargins bottom="0.3937007874015748" footer="0.0" header="0.0" left="0.3937007874015748" right="0.3937007874015748" top="0.5905511811023623"/>
  <pageSetup fitToWidth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181C9"/>
    <pageSetUpPr fitToPage="1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4.5"/>
    <col customWidth="1" min="3" max="3" width="44.0"/>
    <col customWidth="1" min="4" max="5" width="8.88"/>
    <col customWidth="1" min="6" max="6" width="4.0"/>
    <col customWidth="1" min="7" max="7" width="8.25"/>
    <col customWidth="1" min="8" max="8" width="6.25"/>
    <col customWidth="1" min="9" max="10" width="8.38"/>
    <col customWidth="1" min="11" max="11" width="16.0"/>
    <col customWidth="1" min="12" max="12" width="3.88"/>
  </cols>
  <sheetData>
    <row r="1" ht="58.5" customHeight="1">
      <c r="A1" s="16" t="s">
        <v>40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ht="27.75" customHeight="1">
      <c r="A2" s="19"/>
      <c r="E2" s="20"/>
      <c r="F2" s="21" t="s">
        <v>41</v>
      </c>
      <c r="G2" s="22" t="s">
        <v>42</v>
      </c>
      <c r="H2" s="23" t="s">
        <v>43</v>
      </c>
      <c r="I2" s="24"/>
      <c r="J2" s="24"/>
      <c r="K2" s="25"/>
    </row>
    <row r="3" ht="27.75" customHeight="1">
      <c r="A3" s="19"/>
      <c r="B3" s="26" t="s">
        <v>44</v>
      </c>
      <c r="C3" s="24"/>
      <c r="D3" s="20"/>
      <c r="E3" s="20"/>
      <c r="F3" s="27"/>
      <c r="G3" s="28" t="s">
        <v>45</v>
      </c>
      <c r="H3" s="23" t="s">
        <v>46</v>
      </c>
      <c r="I3" s="24"/>
      <c r="J3" s="24"/>
      <c r="K3" s="25"/>
    </row>
    <row r="4" ht="27.75" customHeight="1">
      <c r="A4" s="19"/>
      <c r="B4" s="26" t="s">
        <v>47</v>
      </c>
      <c r="C4" s="24"/>
      <c r="D4" s="20"/>
      <c r="E4" s="20"/>
      <c r="F4" s="27"/>
      <c r="G4" s="29" t="s">
        <v>48</v>
      </c>
      <c r="H4" s="30" t="s">
        <v>49</v>
      </c>
      <c r="I4" s="24"/>
      <c r="J4" s="24"/>
      <c r="K4" s="25"/>
    </row>
    <row r="5" ht="27.75" customHeight="1">
      <c r="A5" s="19"/>
      <c r="B5" s="20"/>
      <c r="C5" s="20"/>
      <c r="D5" s="20"/>
      <c r="E5" s="20"/>
      <c r="F5" s="27"/>
      <c r="G5" s="22" t="s">
        <v>50</v>
      </c>
      <c r="H5" s="31" t="s">
        <v>51</v>
      </c>
      <c r="I5" s="28"/>
      <c r="J5" s="28" t="s">
        <v>52</v>
      </c>
      <c r="K5" s="32" t="s">
        <v>53</v>
      </c>
    </row>
    <row r="6" ht="27.75" customHeight="1">
      <c r="A6" s="19" t="s">
        <v>54</v>
      </c>
      <c r="E6" s="33"/>
      <c r="F6" s="27"/>
      <c r="G6" s="34" t="s">
        <v>55</v>
      </c>
      <c r="H6" s="35" t="s">
        <v>56</v>
      </c>
      <c r="I6" s="36"/>
      <c r="J6" s="36"/>
      <c r="K6" s="37"/>
    </row>
    <row r="7" ht="27.75" customHeight="1">
      <c r="A7" s="38" t="s">
        <v>57</v>
      </c>
      <c r="E7" s="33"/>
      <c r="F7" s="27"/>
      <c r="G7" s="28" t="s">
        <v>58</v>
      </c>
      <c r="H7" s="39" t="s">
        <v>59</v>
      </c>
      <c r="I7" s="40"/>
      <c r="J7" s="40" t="s">
        <v>60</v>
      </c>
      <c r="K7" s="25"/>
    </row>
    <row r="8" ht="27.75" customHeight="1">
      <c r="A8" s="41"/>
      <c r="B8" s="42"/>
      <c r="C8" s="42"/>
      <c r="D8" s="42"/>
      <c r="E8" s="43"/>
      <c r="F8" s="44"/>
      <c r="G8" s="28" t="s">
        <v>61</v>
      </c>
      <c r="H8" s="23" t="s">
        <v>62</v>
      </c>
      <c r="I8" s="24"/>
      <c r="J8" s="24"/>
      <c r="K8" s="25"/>
    </row>
    <row r="9" ht="46.5" customHeight="1">
      <c r="A9" s="45" t="s">
        <v>63</v>
      </c>
      <c r="B9" s="46" t="s">
        <v>80</v>
      </c>
      <c r="C9" s="24"/>
      <c r="D9" s="24"/>
      <c r="E9" s="24"/>
      <c r="F9" s="47">
        <f>K19</f>
        <v>13750000</v>
      </c>
      <c r="G9" s="24"/>
      <c r="H9" s="24"/>
      <c r="I9" s="24"/>
      <c r="J9" s="24"/>
      <c r="K9" s="25"/>
    </row>
    <row r="10" ht="32.25" customHeight="1">
      <c r="A10" s="48" t="s">
        <v>65</v>
      </c>
      <c r="B10" s="49" t="s">
        <v>66</v>
      </c>
      <c r="C10" s="50"/>
      <c r="D10" s="51" t="s">
        <v>81</v>
      </c>
      <c r="E10" s="50"/>
      <c r="F10" s="51" t="s">
        <v>82</v>
      </c>
      <c r="G10" s="24"/>
      <c r="H10" s="50"/>
      <c r="I10" s="51" t="s">
        <v>83</v>
      </c>
      <c r="J10" s="50"/>
      <c r="K10" s="52" t="s">
        <v>70</v>
      </c>
    </row>
    <row r="11" ht="37.5" customHeight="1">
      <c r="A11" s="53" t="s">
        <v>71</v>
      </c>
      <c r="B11" s="54" t="s">
        <v>9</v>
      </c>
      <c r="C11" s="55"/>
      <c r="D11" s="56">
        <v>150000.0</v>
      </c>
      <c r="E11" s="57"/>
      <c r="F11" s="56">
        <v>0.0</v>
      </c>
      <c r="G11" s="58"/>
      <c r="H11" s="57"/>
      <c r="I11" s="82" t="s">
        <v>84</v>
      </c>
      <c r="J11" s="83"/>
      <c r="K11" s="60">
        <f t="shared" ref="K11:K16" si="1">F11</f>
        <v>0</v>
      </c>
    </row>
    <row r="12" ht="37.5" customHeight="1">
      <c r="A12" s="53" t="s">
        <v>71</v>
      </c>
      <c r="B12" s="61" t="s">
        <v>16</v>
      </c>
      <c r="C12" s="55"/>
      <c r="D12" s="62">
        <v>179000.0</v>
      </c>
      <c r="E12" s="63"/>
      <c r="F12" s="56">
        <v>0.0</v>
      </c>
      <c r="G12" s="58"/>
      <c r="H12" s="57"/>
      <c r="I12" s="82" t="s">
        <v>84</v>
      </c>
      <c r="J12" s="83"/>
      <c r="K12" s="60">
        <f t="shared" si="1"/>
        <v>0</v>
      </c>
    </row>
    <row r="13" ht="37.5" customHeight="1">
      <c r="A13" s="53" t="s">
        <v>71</v>
      </c>
      <c r="B13" s="61" t="s">
        <v>21</v>
      </c>
      <c r="C13" s="55"/>
      <c r="D13" s="62">
        <v>200000.0</v>
      </c>
      <c r="E13" s="63"/>
      <c r="F13" s="66">
        <v>5000000.0</v>
      </c>
      <c r="G13" s="67"/>
      <c r="H13" s="63"/>
      <c r="I13" s="82" t="s">
        <v>84</v>
      </c>
      <c r="J13" s="83"/>
      <c r="K13" s="60">
        <f t="shared" si="1"/>
        <v>5000000</v>
      </c>
    </row>
    <row r="14" ht="37.5" customHeight="1">
      <c r="A14" s="53" t="s">
        <v>71</v>
      </c>
      <c r="B14" s="61" t="s">
        <v>27</v>
      </c>
      <c r="C14" s="55"/>
      <c r="D14" s="62">
        <v>179000.0</v>
      </c>
      <c r="E14" s="63"/>
      <c r="F14" s="66">
        <v>2500000.0</v>
      </c>
      <c r="G14" s="67"/>
      <c r="H14" s="63"/>
      <c r="I14" s="82" t="s">
        <v>84</v>
      </c>
      <c r="J14" s="83"/>
      <c r="K14" s="60">
        <f t="shared" si="1"/>
        <v>2500000</v>
      </c>
    </row>
    <row r="15" ht="37.5" customHeight="1">
      <c r="A15" s="53" t="s">
        <v>71</v>
      </c>
      <c r="B15" s="61" t="s">
        <v>33</v>
      </c>
      <c r="C15" s="55"/>
      <c r="D15" s="62">
        <v>237000.0</v>
      </c>
      <c r="E15" s="63"/>
      <c r="F15" s="66">
        <v>2500000.0</v>
      </c>
      <c r="G15" s="67"/>
      <c r="H15" s="63"/>
      <c r="I15" s="82" t="s">
        <v>84</v>
      </c>
      <c r="J15" s="83"/>
      <c r="K15" s="60">
        <f t="shared" si="1"/>
        <v>2500000</v>
      </c>
    </row>
    <row r="16" ht="37.5" customHeight="1">
      <c r="A16" s="53" t="s">
        <v>71</v>
      </c>
      <c r="B16" s="61" t="s">
        <v>37</v>
      </c>
      <c r="C16" s="55"/>
      <c r="D16" s="62">
        <v>254100.0</v>
      </c>
      <c r="E16" s="63"/>
      <c r="F16" s="66">
        <v>2500000.0</v>
      </c>
      <c r="G16" s="67"/>
      <c r="H16" s="63"/>
      <c r="I16" s="82" t="s">
        <v>84</v>
      </c>
      <c r="J16" s="83"/>
      <c r="K16" s="60">
        <f t="shared" si="1"/>
        <v>2500000</v>
      </c>
    </row>
    <row r="17" ht="33.0" customHeight="1">
      <c r="A17" s="68" t="s">
        <v>72</v>
      </c>
      <c r="B17" s="24"/>
      <c r="C17" s="24"/>
      <c r="D17" s="24"/>
      <c r="E17" s="24"/>
      <c r="F17" s="24"/>
      <c r="G17" s="24"/>
      <c r="H17" s="24"/>
      <c r="I17" s="24"/>
      <c r="J17" s="50"/>
      <c r="K17" s="69">
        <f>SUM(K11:K16)</f>
        <v>12500000</v>
      </c>
    </row>
    <row r="18" ht="33.0" customHeight="1">
      <c r="A18" s="68" t="s">
        <v>73</v>
      </c>
      <c r="B18" s="24"/>
      <c r="C18" s="24"/>
      <c r="D18" s="24"/>
      <c r="E18" s="24"/>
      <c r="F18" s="24"/>
      <c r="G18" s="24"/>
      <c r="H18" s="24"/>
      <c r="I18" s="24"/>
      <c r="J18" s="50"/>
      <c r="K18" s="69">
        <f>K17*0.1</f>
        <v>1250000</v>
      </c>
    </row>
    <row r="19" ht="33.0" customHeight="1">
      <c r="A19" s="68" t="s">
        <v>74</v>
      </c>
      <c r="B19" s="24"/>
      <c r="C19" s="24"/>
      <c r="D19" s="24"/>
      <c r="E19" s="24"/>
      <c r="F19" s="24"/>
      <c r="G19" s="24"/>
      <c r="H19" s="24"/>
      <c r="I19" s="24"/>
      <c r="J19" s="50"/>
      <c r="K19" s="69">
        <f>SUM(K17:K18)</f>
        <v>13750000</v>
      </c>
    </row>
    <row r="20" ht="125.25" customHeight="1">
      <c r="A20" s="70" t="s">
        <v>75</v>
      </c>
      <c r="B20" s="71" t="s">
        <v>85</v>
      </c>
      <c r="C20" s="72"/>
      <c r="D20" s="72"/>
      <c r="E20" s="72"/>
      <c r="F20" s="72"/>
      <c r="G20" s="72"/>
      <c r="H20" s="72"/>
      <c r="I20" s="72"/>
      <c r="J20" s="72"/>
      <c r="K20" s="73"/>
    </row>
    <row r="21" ht="22.5" customHeight="1"/>
  </sheetData>
  <mergeCells count="47">
    <mergeCell ref="B4:C4"/>
    <mergeCell ref="A6:E6"/>
    <mergeCell ref="J7:K7"/>
    <mergeCell ref="H8:K8"/>
    <mergeCell ref="F9:K9"/>
    <mergeCell ref="F10:H10"/>
    <mergeCell ref="I10:J10"/>
    <mergeCell ref="F11:H11"/>
    <mergeCell ref="I11:J11"/>
    <mergeCell ref="A1:K1"/>
    <mergeCell ref="A2:D2"/>
    <mergeCell ref="F2:F8"/>
    <mergeCell ref="H2:K2"/>
    <mergeCell ref="H3:K3"/>
    <mergeCell ref="H4:K4"/>
    <mergeCell ref="H6:K6"/>
    <mergeCell ref="B3:C3"/>
    <mergeCell ref="A7:E8"/>
    <mergeCell ref="B9:E9"/>
    <mergeCell ref="B10:C10"/>
    <mergeCell ref="D10:E10"/>
    <mergeCell ref="B11:C11"/>
    <mergeCell ref="D11:E11"/>
    <mergeCell ref="B12:C12"/>
    <mergeCell ref="D12:E12"/>
    <mergeCell ref="F12:H12"/>
    <mergeCell ref="I12:J12"/>
    <mergeCell ref="D13:E13"/>
    <mergeCell ref="F13:H13"/>
    <mergeCell ref="I13:J13"/>
    <mergeCell ref="F15:H15"/>
    <mergeCell ref="I15:J15"/>
    <mergeCell ref="B16:C16"/>
    <mergeCell ref="D16:E16"/>
    <mergeCell ref="F16:H16"/>
    <mergeCell ref="I16:J16"/>
    <mergeCell ref="A17:J17"/>
    <mergeCell ref="A18:J18"/>
    <mergeCell ref="A19:J19"/>
    <mergeCell ref="B20:K20"/>
    <mergeCell ref="B13:C13"/>
    <mergeCell ref="B14:C14"/>
    <mergeCell ref="D14:E14"/>
    <mergeCell ref="F14:H14"/>
    <mergeCell ref="I14:J14"/>
    <mergeCell ref="B15:C15"/>
    <mergeCell ref="D15:E15"/>
  </mergeCells>
  <printOptions horizontalCentered="1"/>
  <pageMargins bottom="0.3937007874015748" footer="0.0" header="0.0" left="0.3937007874015748" right="0.3937007874015748" top="0.5905511811023623"/>
  <pageSetup fitToWidth="0" paperSize="9" orientation="portrait"/>
  <drawing r:id="rId1"/>
</worksheet>
</file>