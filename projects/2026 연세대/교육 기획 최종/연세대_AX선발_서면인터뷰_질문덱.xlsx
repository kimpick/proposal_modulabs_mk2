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Track 1" sheetId="2" state="visible" r:id="rId2"/>
    <sheet xmlns:r="http://schemas.openxmlformats.org/officeDocument/2006/relationships" name="Track 2" sheetId="3" state="visible" r:id="rId3"/>
    <sheet xmlns:r="http://schemas.openxmlformats.org/officeDocument/2006/relationships" name="Track 3" sheetId="4" state="visible" r:id="rId4"/>
    <sheet xmlns:r="http://schemas.openxmlformats.org/officeDocument/2006/relationships" name="역량매핑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Malgun Gothic"/>
      <b val="1"/>
      <color rgb="00FFFFFF"/>
      <sz val="16"/>
    </font>
    <font>
      <name val="Malgun Gothic"/>
      <color rgb="006B7280"/>
      <sz val="10"/>
    </font>
    <font>
      <name val="Malgun Gothic"/>
      <b val="1"/>
      <color rgb="001F2937"/>
      <sz val="10"/>
    </font>
    <font>
      <name val="Malgun Gothic"/>
      <color rgb="001F2937"/>
      <sz val="10"/>
    </font>
    <font>
      <name val="Malgun Gothic"/>
      <b val="1"/>
      <color rgb="001F2937"/>
      <sz val="11"/>
    </font>
    <font>
      <name val="Malgun Gothic"/>
      <b val="1"/>
      <color rgb="00FFFFFF"/>
      <sz val="13"/>
    </font>
    <font>
      <name val="Malgun Gothic"/>
      <color rgb="006B7280"/>
      <sz val="9"/>
    </font>
    <font>
      <name val="Malgun Gothic"/>
      <b val="1"/>
      <color rgb="00F7585C"/>
      <sz val="11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EF3C7"/>
      </patternFill>
    </fill>
    <fill>
      <patternFill patternType="solid">
        <fgColor rgb="00E5E7EB"/>
      </patternFill>
    </fill>
    <fill>
      <patternFill patternType="solid">
        <fgColor rgb="001E40AF"/>
      </patternFill>
    </fill>
    <fill>
      <patternFill patternType="solid">
        <fgColor rgb="00FFFBEB"/>
      </patternFill>
    </fill>
    <fill>
      <patternFill patternType="solid">
        <fgColor rgb="00FFFFFF"/>
      </patternFill>
    </fill>
    <fill>
      <patternFill patternType="solid">
        <fgColor rgb="00F7585C"/>
      </patternFill>
    </fill>
    <fill>
      <patternFill patternType="solid">
        <fgColor rgb="00059669"/>
      </patternFill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0" fontId="0" fillId="7" borderId="1" pivotButton="0" quotePrefix="0" xfId="0"/>
    <xf numFmtId="0" fontId="3" fillId="0" borderId="0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center" vertical="center" wrapText="1"/>
    </xf>
    <xf numFmtId="164" fontId="8" fillId="0" borderId="0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80" customWidth="1" min="3" max="3"/>
  </cols>
  <sheetData>
    <row r="2" ht="44" customHeight="1">
      <c r="B2" s="1" t="inlineStr">
        <is>
          <t>연세대 AX 교육 · 트랙별 서면 인터뷰 질문 덱</t>
        </is>
      </c>
    </row>
    <row r="3">
      <c r="B3" s="2" t="inlineStr">
        <is>
          <t>모두의연구소 × 연세대 · 2026 AX 역량 강화 교육 · 트랙별 20인 선발용</t>
        </is>
      </c>
    </row>
    <row r="5" ht="32" customHeight="1">
      <c r="B5" s="3" t="inlineStr">
        <is>
          <t>목적</t>
        </is>
      </c>
      <c r="C5" s="4" t="inlineStr">
        <is>
          <t>아이디어톤(100인) 통과자 중 트랙별 20인(총 60인)을 선발하기 위한 서면 인터뷰 질문 덱. 각 트랙이 요구하는 역량·동기·참여 의지를 구조화된 질문으로 평가.</t>
        </is>
      </c>
    </row>
    <row r="6" ht="32" customHeight="1">
      <c r="B6" s="3" t="inlineStr">
        <is>
          <t>선정 컷</t>
        </is>
      </c>
      <c r="C6" s="4" t="inlineStr">
        <is>
          <t>100인 → 트랙별 20인 × 3 = 60인. 각 트랙 시트에서 12문항에 대해 1-5점 평정 → 가중 점수(배점×점수/5) 합산 → 상위 20인 선정.</t>
        </is>
      </c>
    </row>
    <row r="7" ht="32" customHeight="1">
      <c r="B7" s="3" t="inlineStr">
        <is>
          <t>평정 척도</t>
        </is>
      </c>
      <c r="C7" s="4" t="inlineStr">
        <is>
          <t>1=역량 미흡 · 2=초급 · 3=중급(기준선) · 4=중급 상 · 5=우수. 루브릭 기준: 중급(3)이 선발 기준선.</t>
        </is>
      </c>
    </row>
    <row r="8" ht="32" customHeight="1">
      <c r="B8" s="3" t="inlineStr">
        <is>
          <t>사용 순서</t>
        </is>
      </c>
      <c r="C8" s="4" t="inlineStr">
        <is>
          <t>①지원자가 응답 칸에 서면 작성 → ②평가자가 평가자 점수(1-5) 입력 → ③총점 자동 합산 → ④트랙별 상위 20인 확정.</t>
        </is>
      </c>
    </row>
    <row r="9" ht="32" customHeight="1">
      <c r="B9" s="3" t="inlineStr">
        <is>
          <t>배점 원칙</t>
        </is>
      </c>
      <c r="C9" s="4" t="inlineStr">
        <is>
          <t>역량·경험 섹션(문항당 5점) &gt; 동기·기대(문항당 3점) &gt; 참여 의지(문항당 4점) &gt; 개방형(문항당 2점). 총배점 트랙당 약 44점.</t>
        </is>
      </c>
    </row>
    <row r="10" ht="32" customHeight="1">
      <c r="B10" s="3" t="inlineStr">
        <is>
          <t>트랙별 역량 매핑</t>
        </is>
      </c>
      <c r="C10" s="4" t="inlineStr">
        <is>
          <t>Track 1·2: 3축 평가(정량·정성·AI활용). Track 3: 6역량 루브릭(Agentic Work·미션 정의·사업 설계·AI Agent 활용·팀워크·실험과 지표). 상세는 "역량매핑" 시트 참조.</t>
        </is>
      </c>
    </row>
    <row r="11" ht="32" customHeight="1">
      <c r="B11" s="3" t="inlineStr">
        <is>
          <t>주의</t>
        </is>
      </c>
      <c r="C11" s="4" t="inlineStr">
        <is>
          <t>Track 2는 학생 톤 유지(엔터테인먼트 크리에이터 양성 아님, 커리어 설계 중심). Track 3는 사업 완성도보다 가설 선명도·Agent 활용도 중심. 모든 트랙 비개발자 환영.</t>
        </is>
      </c>
    </row>
    <row r="13">
      <c r="B13" s="5" t="inlineStr">
        <is>
          <t>📊 시트 구성</t>
        </is>
      </c>
    </row>
    <row r="14">
      <c r="B14" s="6" t="inlineStr">
        <is>
          <t>Track 1</t>
        </is>
      </c>
      <c r="C14" s="7" t="inlineStr">
        <is>
          <t>AI 연구자동화 / 논문 작성 — 연구 질문 선명도·문헌 비판·LLM 워크플로우 (12문항)</t>
        </is>
      </c>
    </row>
    <row r="15">
      <c r="B15" s="6" t="inlineStr">
        <is>
          <t>Track 2</t>
        </is>
      </c>
      <c r="C15" s="7" t="inlineStr">
        <is>
          <t>AI 브랜딩 / 퍼스널 브랜딩 — 오디언스 타겟팅·커리어 스토리·LLM 비판적 수정 (12문항)</t>
        </is>
      </c>
    </row>
    <row r="16">
      <c r="B16" s="6" t="inlineStr">
        <is>
          <t>Track 3</t>
        </is>
      </c>
      <c r="C16" s="7" t="inlineStr">
        <is>
          <t>AI 비즈니스 랩 — 6역량(Agentic·미션·사업·Agent·팀워크·실험) (12문항)</t>
        </is>
      </c>
    </row>
    <row r="17">
      <c r="B17" s="6" t="inlineStr">
        <is>
          <t>역량매핑</t>
        </is>
      </c>
      <c r="C17" s="7" t="inlineStr">
        <is>
          <t>트랙별 질문 ↔ 역량 루브릭 교차표 (참고용)</t>
        </is>
      </c>
    </row>
  </sheetData>
  <mergeCells count="3">
    <mergeCell ref="B13:C13"/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12" customWidth="1" min="3" max="3"/>
    <col width="42" customWidth="1" min="4" max="4"/>
    <col width="30" customWidth="1" min="5" max="5"/>
    <col width="30" customWidth="1" min="6" max="6"/>
    <col width="7" customWidth="1" min="7" max="7"/>
    <col width="11" customWidth="1" min="8" max="8"/>
    <col width="10" customWidth="1" min="9" max="9"/>
  </cols>
  <sheetData>
    <row r="2" ht="40" customHeight="1">
      <c r="B2" s="1" t="inlineStr">
        <is>
          <t>Track 1 · 서면 인터뷰 질문 덱</t>
        </is>
      </c>
    </row>
    <row r="3">
      <c r="B3" s="2" t="inlineStr">
        <is>
          <t>AI 연구자동화 / 논문 작성 · 3축 평가(정량·정성·AI 활용) · 12문항</t>
        </is>
      </c>
    </row>
    <row r="5" ht="30" customHeight="1">
      <c r="B5" s="8" t="inlineStr">
        <is>
          <t>번호</t>
        </is>
      </c>
      <c r="C5" s="8" t="inlineStr">
        <is>
          <t>섹션</t>
        </is>
      </c>
      <c r="D5" s="8" t="inlineStr">
        <is>
          <t>질문</t>
        </is>
      </c>
      <c r="E5" s="8" t="inlineStr">
        <is>
          <t>평가 포인트 (루브릭 매핑)</t>
        </is>
      </c>
      <c r="F5" s="8" t="inlineStr">
        <is>
          <t>차별화 가이드</t>
        </is>
      </c>
      <c r="G5" s="8" t="inlineStr">
        <is>
          <t>배점</t>
        </is>
      </c>
      <c r="H5" s="8" t="inlineStr">
        <is>
          <t>평가자 점수 (1-5)</t>
        </is>
      </c>
      <c r="I5" s="8" t="inlineStr">
        <is>
          <t>가중 점수</t>
        </is>
      </c>
    </row>
    <row r="6" ht="60" customHeight="1">
      <c r="B6" s="9" t="n">
        <v>1</v>
      </c>
      <c r="C6" s="10" t="inlineStr">
        <is>
          <t>동기·기대</t>
        </is>
      </c>
      <c r="D6" s="4" t="inlineStr">
        <is>
          <t>이 트랙에 지원한 이유는 무엇인가요? 최근 가장 깊이 탐구하고 싶은 연구 주제나 질문이 있다면 적어주세요.</t>
        </is>
      </c>
      <c r="E6" s="11" t="inlineStr">
        <is>
          <t>[동기] 연구 주제의 구체성 · 진정성</t>
        </is>
      </c>
      <c r="F6" s="11" t="inlineStr">
        <is>
          <t>추상적 관심("AI가 좋아요") vs 구체 질문("X가 Y에 미치는 영향") — 후자가 상위</t>
        </is>
      </c>
      <c r="G6" s="9" t="n">
        <v>3</v>
      </c>
      <c r="H6" s="12" t="n"/>
      <c r="I6" s="13">
        <f>IF(H6="","",G6*H6/5)</f>
        <v/>
      </c>
    </row>
    <row r="7" ht="60" customHeight="1">
      <c r="B7" s="9" t="n">
        <v>2</v>
      </c>
      <c r="C7" s="10" t="inlineStr">
        <is>
          <t>동기·기대</t>
        </is>
      </c>
      <c r="D7" s="4" t="inlineStr">
        <is>
          <t>3주 뒤 스스로 완성하고 싶은 산출물(연구 설계서/논문 초안/초록 등)은 구체적으로 어떤 모습인가요?</t>
        </is>
      </c>
      <c r="E7" s="11" t="inlineStr">
        <is>
          <t>[기대] 산출물 목표의 선명도 · 실행 가능성</t>
        </is>
      </c>
      <c r="F7" s="11" t="inlineStr">
        <is>
          <t>"논문 한 편"(막연) vs "IMRaD 초안 + 초록 250단어"(구체) — 후자 우수</t>
        </is>
      </c>
      <c r="G7" s="9" t="n">
        <v>3</v>
      </c>
      <c r="H7" s="12" t="n"/>
      <c r="I7" s="13">
        <f>IF(H7="","",G7*H7/5)</f>
        <v/>
      </c>
    </row>
    <row r="8" ht="60" customHeight="1">
      <c r="B8" s="9" t="n">
        <v>3</v>
      </c>
      <c r="C8" s="10" t="inlineStr">
        <is>
          <t>동기·기대</t>
        </is>
      </c>
      <c r="D8" s="4" t="inlineStr">
        <is>
          <t>이 교육이 본인의 진로(대학원·취업·연구 등)에 어떤 의미인가요?</t>
        </is>
      </c>
      <c r="E8" s="11" t="inlineStr">
        <is>
          <t>[동기] 진로 연결성 · 장기 비전</t>
        </is>
      </c>
      <c r="F8" s="11" t="inlineStr">
        <is>
          <t>단순 스펙 vs 연구 커리어의 출발점 — 후자 가산</t>
        </is>
      </c>
      <c r="G8" s="9" t="n">
        <v>3</v>
      </c>
      <c r="H8" s="12" t="n"/>
      <c r="I8" s="13">
        <f>IF(H8="","",G8*H8/5)</f>
        <v/>
      </c>
    </row>
    <row r="9" ht="60" customHeight="1">
      <c r="B9" s="9" t="n">
        <v>4</v>
      </c>
      <c r="C9" s="10" t="inlineStr">
        <is>
          <t>역량·경험</t>
        </is>
      </c>
      <c r="D9" s="4" t="inlineStr">
        <is>
          <t>최근 읽은 학술 논문이나 심각한 자료 중 기억에 남는 것이 있다면, 왜 그렇게 생각했는지 적어주세요.</t>
        </is>
      </c>
      <c r="E9" s="11" t="inlineStr">
        <is>
          <t>[정성·문헌] 비판적 읽기 · 인용 정확성</t>
        </is>
      </c>
      <c r="F9" s="11" t="inlineStr">
        <is>
          <t>요약만 vs 한계·gap 지적 — 후자 = 문헌 비판 역량 중급 이상</t>
        </is>
      </c>
      <c r="G9" s="9" t="n">
        <v>5</v>
      </c>
      <c r="H9" s="12" t="n"/>
      <c r="I9" s="13">
        <f>IF(H9="","",G9*H9/5)</f>
        <v/>
      </c>
    </row>
    <row r="10" ht="60" customHeight="1">
      <c r="B10" s="9" t="n">
        <v>5</v>
      </c>
      <c r="C10" s="10" t="inlineStr">
        <is>
          <t>역량·경험</t>
        </is>
      </c>
      <c r="D10" s="4" t="inlineStr">
        <is>
          <t>본인이 세운 "연구 질문" 예시를 하나 들어주세요. 왜 그 질문이 중요하다고 보나요?</t>
        </is>
      </c>
      <c r="E10" s="11" t="inlineStr">
        <is>
          <t>[정성] 연구 질문 명확성 · gap 겨냥 · 기여점</t>
        </is>
      </c>
      <c r="F10" s="11" t="inlineStr">
        <is>
          <t>"~에 대해 연구" vs "X 조건에서 Y가 Z처럼 달라지는가" — 후자 우수</t>
        </is>
      </c>
      <c r="G10" s="9" t="n">
        <v>5</v>
      </c>
      <c r="H10" s="12" t="n"/>
      <c r="I10" s="13">
        <f>IF(H10="","",G10*H10/5)</f>
        <v/>
      </c>
    </row>
    <row r="11" ht="60" customHeight="1">
      <c r="B11" s="9" t="n">
        <v>6</v>
      </c>
      <c r="C11" s="10" t="inlineStr">
        <is>
          <t>역량·경험</t>
        </is>
      </c>
      <c r="D11" s="4" t="inlineStr">
        <is>
          <t>ChatGPT/Claude를 연구나 글쓰기에 써본 경험과, 환각/오류를 발견해 고친 사례가 있다면 적어주세요.</t>
        </is>
      </c>
      <c r="E11" s="11" t="inlineStr">
        <is>
          <t>[AI 활용] 비판적 검증 · 환각 인지 · 인용 정확성</t>
        </is>
      </c>
      <c r="F11" s="11" t="inlineStr">
        <is>
          <t>그대로 사용 vs 교차 검증 후 수정 — 후자 = AI 활용 우수</t>
        </is>
      </c>
      <c r="G11" s="9" t="n">
        <v>5</v>
      </c>
      <c r="H11" s="12" t="n"/>
      <c r="I11" s="13">
        <f>IF(H11="","",G11*H11/5)</f>
        <v/>
      </c>
    </row>
    <row r="12" ht="60" customHeight="1">
      <c r="B12" s="9" t="n">
        <v>7</v>
      </c>
      <c r="C12" s="10" t="inlineStr">
        <is>
          <t>역량·경험</t>
        </is>
      </c>
      <c r="D12" s="4" t="inlineStr">
        <is>
          <t>데이터 분석이나 코딩(R/Python/SPSS 등) 경험 수준은? 비코딩 트랙이지만 데이터를 다룰 의지가 있나요?</t>
        </is>
      </c>
      <c r="E12" s="11" t="inlineStr">
        <is>
          <t>[정량] 데이터 다룰 준비도 · 학습 의지</t>
        </is>
      </c>
      <c r="F12" s="11" t="inlineStr">
        <is>
          <t>경험 0 + 의지 0 vs 경험 0 + 의지 강 — 비개발자 트랙이므로 의지가 더 중요</t>
        </is>
      </c>
      <c r="G12" s="9" t="n">
        <v>4</v>
      </c>
      <c r="H12" s="12" t="n"/>
      <c r="I12" s="13">
        <f>IF(H12="","",G12*H12/5)</f>
        <v/>
      </c>
    </row>
    <row r="13" ht="60" customHeight="1">
      <c r="B13" s="9" t="n">
        <v>8</v>
      </c>
      <c r="C13" s="10" t="inlineStr">
        <is>
          <t>참여 의지</t>
        </is>
      </c>
      <c r="D13" s="4" t="inlineStr">
        <is>
          <t>3주 × 4H 현장 워크숍 + 주차별 과제를 모두 참석·수행할 수 있나요? 본인의 일정 커밋 가능 정도를 적어주세요.</t>
        </is>
      </c>
      <c r="E13" s="11" t="inlineStr">
        <is>
          <t>[참여] 풀 참석 가능성 · 과제 수행 의지</t>
        </is>
      </c>
      <c r="F13" s="11" t="inlineStr">
        <is>
          <t>모든 회차 참석 + 과제 제출 = 기본. 부분 참석은 감점</t>
        </is>
      </c>
      <c r="G13" s="9" t="n">
        <v>4</v>
      </c>
      <c r="H13" s="12" t="n"/>
      <c r="I13" s="13">
        <f>IF(H13="","",G13*H13/5)</f>
        <v/>
      </c>
    </row>
    <row r="14" ht="60" customHeight="1">
      <c r="B14" s="9" t="n">
        <v>9</v>
      </c>
      <c r="C14" s="10" t="inlineStr">
        <is>
          <t>참여 의지</t>
        </is>
      </c>
      <c r="D14" s="4" t="inlineStr">
        <is>
          <t>팀 내에서 본인이 강한 역할은 무엇인가요? (문헌 조사 / 실험 설계 / 작성 / 리뷰 등)</t>
        </is>
      </c>
      <c r="E14" s="11" t="inlineStr">
        <is>
          <t>[참여] 팀워크 기여도 · 자기 인식 정확성</t>
        </is>
      </c>
      <c r="F14" s="11" t="inlineStr">
        <is>
          <t>역할 인식 못함 vs 구체 강점 + 약점 인식 — 후자 우수</t>
        </is>
      </c>
      <c r="G14" s="9" t="n">
        <v>4</v>
      </c>
      <c r="H14" s="12" t="n"/>
      <c r="I14" s="13">
        <f>IF(H14="","",G14*H14/5)</f>
        <v/>
      </c>
    </row>
    <row r="15" ht="60" customHeight="1">
      <c r="B15" s="9" t="n">
        <v>10</v>
      </c>
      <c r="C15" s="10" t="inlineStr">
        <is>
          <t>개방형</t>
        </is>
      </c>
      <c r="D15" s="4" t="inlineStr">
        <is>
          <t>연구 윤리와 AI 활용에 대한 본인만의 원칙이 있다면 적어주세요.</t>
        </is>
      </c>
      <c r="E15" s="11" t="inlineStr">
        <is>
          <t>[AI 활용·태도] 윤리 감수성 · 원칙 명확성</t>
        </is>
      </c>
      <c r="F15" s="11" t="inlineStr">
        <is>
          <t>"알아서" vs 구체 원칙(인용 표시·환경 분리 등) — 후자 가산</t>
        </is>
      </c>
      <c r="G15" s="9" t="n">
        <v>2</v>
      </c>
      <c r="H15" s="12" t="n"/>
      <c r="I15" s="13">
        <f>IF(H15="","",G15*H15/5)</f>
        <v/>
      </c>
    </row>
    <row r="16" ht="60" customHeight="1">
      <c r="B16" s="9" t="n">
        <v>11</v>
      </c>
      <c r="C16" s="10" t="inlineStr">
        <is>
          <t>개방형</t>
        </is>
      </c>
      <c r="D16" s="4" t="inlineStr">
        <is>
          <t>최근 실패하거나 다시 시도해 본 경험 중, 배운 점이 있다면 적어주세요.</t>
        </is>
      </c>
      <c r="E16" s="11" t="inlineStr">
        <is>
          <t>[참여] 메타인지 · 학습 태도</t>
        </is>
      </c>
      <c r="F16" s="11" t="inlineStr">
        <is>
          <t>실패 회피 vs 구체 회고 + 개선 — 후자 = 성숙도</t>
        </is>
      </c>
      <c r="G16" s="9" t="n">
        <v>2</v>
      </c>
      <c r="H16" s="12" t="n"/>
      <c r="I16" s="13">
        <f>IF(H16="","",G16*H16/5)</f>
        <v/>
      </c>
    </row>
    <row r="17" ht="60" customHeight="1">
      <c r="B17" s="9" t="n">
        <v>12</v>
      </c>
      <c r="C17" s="10" t="inlineStr">
        <is>
          <t>개방형</t>
        </is>
      </c>
      <c r="D17" s="4" t="inlineStr">
        <is>
          <t>(선택) 기존에 작성한 글·보고서·과제 링크나 첨부가 가능하면 적어주세요.</t>
        </is>
      </c>
      <c r="E17" s="11" t="inlineStr">
        <is>
          <t>[참고] 기존 산출물 품질 — 참고용(평정 필수 아님)</t>
        </is>
      </c>
      <c r="F17" s="11" t="inlineStr">
        <is>
          <t>링크 있으면 가산, 없어도 감점 없음</t>
        </is>
      </c>
      <c r="G17" s="9" t="n">
        <v>2</v>
      </c>
      <c r="H17" s="12" t="n"/>
      <c r="I17" s="13">
        <f>IF(H17="","",G17*H17/5)</f>
        <v/>
      </c>
    </row>
    <row r="19" ht="22" customHeight="1">
      <c r="B19" s="14" t="inlineStr">
        <is>
          <t>✍️ 응답 칸 (지원자 작성용 — 위 질문에 대해 자유롭게 서면 답변)</t>
        </is>
      </c>
    </row>
    <row r="20" ht="24" customHeight="1">
      <c r="B20" s="15" t="n"/>
    </row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31">
      <c r="F31" s="16" t="inlineStr">
        <is>
          <t>총배점</t>
        </is>
      </c>
      <c r="G31" s="17">
        <f>SUM(G6:G17)</f>
        <v/>
      </c>
      <c r="H31" s="16" t="inlineStr">
        <is>
          <t>획득 총점</t>
        </is>
      </c>
      <c r="I31" s="18">
        <f>SUM(I6:I17)</f>
        <v/>
      </c>
    </row>
  </sheetData>
  <mergeCells count="4">
    <mergeCell ref="B3:I3"/>
    <mergeCell ref="B19:I19"/>
    <mergeCell ref="B2:I2"/>
    <mergeCell ref="B20:I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12" customWidth="1" min="3" max="3"/>
    <col width="42" customWidth="1" min="4" max="4"/>
    <col width="30" customWidth="1" min="5" max="5"/>
    <col width="30" customWidth="1" min="6" max="6"/>
    <col width="7" customWidth="1" min="7" max="7"/>
    <col width="11" customWidth="1" min="8" max="8"/>
    <col width="10" customWidth="1" min="9" max="9"/>
  </cols>
  <sheetData>
    <row r="2" ht="40" customHeight="1">
      <c r="B2" s="1" t="inlineStr">
        <is>
          <t>Track 2 · 서면 인터뷰 질문 덱</t>
        </is>
      </c>
    </row>
    <row r="3">
      <c r="B3" s="2" t="inlineStr">
        <is>
          <t>AI 브랜딩 / 퍼스널 브랜딩 · 3축 평가(정량·정성·AI 활용) · 학생 톤 · 12문항</t>
        </is>
      </c>
    </row>
    <row r="5" ht="30" customHeight="1">
      <c r="B5" s="19" t="inlineStr">
        <is>
          <t>번호</t>
        </is>
      </c>
      <c r="C5" s="19" t="inlineStr">
        <is>
          <t>섹션</t>
        </is>
      </c>
      <c r="D5" s="19" t="inlineStr">
        <is>
          <t>질문</t>
        </is>
      </c>
      <c r="E5" s="19" t="inlineStr">
        <is>
          <t>평가 포인트 (루브릭 매핑)</t>
        </is>
      </c>
      <c r="F5" s="19" t="inlineStr">
        <is>
          <t>차별화 가이드</t>
        </is>
      </c>
      <c r="G5" s="19" t="inlineStr">
        <is>
          <t>배점</t>
        </is>
      </c>
      <c r="H5" s="19" t="inlineStr">
        <is>
          <t>평가자 점수 (1-5)</t>
        </is>
      </c>
      <c r="I5" s="19" t="inlineStr">
        <is>
          <t>가중 점수</t>
        </is>
      </c>
    </row>
    <row r="6" ht="60" customHeight="1">
      <c r="B6" s="9" t="n">
        <v>1</v>
      </c>
      <c r="C6" s="10" t="inlineStr">
        <is>
          <t>동기·기대</t>
        </is>
      </c>
      <c r="D6" s="4" t="inlineStr">
        <is>
          <t>"퍼스널 브랜딩"을 본인은 어떻게 이해하나요? (자기 PR vs 커리어 설계 중 어느 쪽에 가깝다고 보나요?)</t>
        </is>
      </c>
      <c r="E6" s="11" t="inlineStr">
        <is>
          <t>[동기] 개념 이해도 · 커리어 설계 관점</t>
        </is>
      </c>
      <c r="F6" s="11" t="inlineStr">
        <is>
          <t>"SNS 잘하긴" vs "전문성 내러티브 설계" — 후자 = 정답에 가까운 이해</t>
        </is>
      </c>
      <c r="G6" s="9" t="n">
        <v>3</v>
      </c>
      <c r="H6" s="12" t="n"/>
      <c r="I6" s="13">
        <f>IF(H6="","",G6*H6/5)</f>
        <v/>
      </c>
    </row>
    <row r="7" ht="60" customHeight="1">
      <c r="B7" s="9" t="n">
        <v>2</v>
      </c>
      <c r="C7" s="10" t="inlineStr">
        <is>
          <t>동기·기대</t>
        </is>
      </c>
      <c r="D7" s="4" t="inlineStr">
        <is>
          <t>본인이 꾸준히 다루고 싶은 "주제/분야" 1-3개를 적어주세요. 왜 그 주제인가요?</t>
        </is>
      </c>
      <c r="E7" s="11" t="inlineStr">
        <is>
          <t>[정성·전략] 주제 선명도 · 일관성 가능성</t>
        </is>
      </c>
      <c r="F7" s="11" t="inlineStr">
        <is>
          <t>분산(여러 분야) vs 집중(한 분야 심화) — 후자 우수</t>
        </is>
      </c>
      <c r="G7" s="9" t="n">
        <v>3</v>
      </c>
      <c r="H7" s="12" t="n"/>
      <c r="I7" s="13">
        <f>IF(H7="","",G7*H7/5)</f>
        <v/>
      </c>
    </row>
    <row r="8" ht="60" customHeight="1">
      <c r="B8" s="9" t="n">
        <v>3</v>
      </c>
      <c r="C8" s="10" t="inlineStr">
        <is>
          <t>동기·기대</t>
        </is>
      </c>
      <c r="D8" s="4" t="inlineStr">
        <is>
          <t>3주 뒤 만들고 싶은 "나의 커리어 내러티브"는 어떤 모습인가요?</t>
        </is>
      </c>
      <c r="E8" s="11" t="inlineStr">
        <is>
          <t>[기대] 내러티브 목표의 구체성</t>
        </is>
      </c>
      <c r="F8" s="11" t="inlineStr">
        <is>
          <t>"유명해지기" vs "X 분야의 초보 전문가로 인지" — 후자 우수</t>
        </is>
      </c>
      <c r="G8" s="9" t="n">
        <v>3</v>
      </c>
      <c r="H8" s="12" t="n"/>
      <c r="I8" s="13">
        <f>IF(H8="","",G8*H8/5)</f>
        <v/>
      </c>
    </row>
    <row r="9" ht="60" customHeight="1">
      <c r="B9" s="9" t="n">
        <v>4</v>
      </c>
      <c r="C9" s="10" t="inlineStr">
        <is>
          <t>역량·경험</t>
        </is>
      </c>
      <c r="D9" s="4" t="inlineStr">
        <is>
          <t>평소 팔로우/구독하는 크리에이터나 브랜드 중, 본인이 닮고 싶은 접근 방식이 있다면 무엇인가요?</t>
        </is>
      </c>
      <c r="E9" s="11" t="inlineStr">
        <is>
          <t>[정성·오디언스] 전략 분석력 · 틸트 이해</t>
        </is>
      </c>
      <c r="F9" s="11" t="inlineStr">
        <is>
          <t>이름만 나열 vs "왜 그 방식이 통하는지" 분석 — 후자 우수</t>
        </is>
      </c>
      <c r="G9" s="9" t="n">
        <v>5</v>
      </c>
      <c r="H9" s="12" t="n"/>
      <c r="I9" s="13">
        <f>IF(H9="","",G9*H9/5)</f>
        <v/>
      </c>
    </row>
    <row r="10" ht="60" customHeight="1">
      <c r="B10" s="9" t="n">
        <v>5</v>
      </c>
      <c r="C10" s="10" t="inlineStr">
        <is>
          <t>역량·경험</t>
        </is>
      </c>
      <c r="D10" s="4" t="inlineStr">
        <is>
          <t>기존에 만들어본 콘텐츠(글·영상·카드뉴스 등) 경험 중 가장 자랑스러운 것 하나를 적어주세요.</t>
        </is>
      </c>
      <c r="E10" s="11" t="inlineStr">
        <is>
          <t>[정량·참고] 제작 경험 · 산출물 존재</t>
        </is>
      </c>
      <c r="F10" s="11" t="inlineStr">
        <is>
          <t>경험 0도 OK(배움 트랙) — 있으면 가산</t>
        </is>
      </c>
      <c r="G10" s="9" t="n">
        <v>5</v>
      </c>
      <c r="H10" s="12" t="n"/>
      <c r="I10" s="13">
        <f>IF(H10="","",G10*H10/5)</f>
        <v/>
      </c>
    </row>
    <row r="11" ht="60" customHeight="1">
      <c r="B11" s="9" t="n">
        <v>6</v>
      </c>
      <c r="C11" s="10" t="inlineStr">
        <is>
          <t>역량·경험</t>
        </is>
      </c>
      <c r="D11" s="4" t="inlineStr">
        <is>
          <t>ChatGPT/Claude로 콘텐츠 초안을 작성한 뒤, 본인이 어떻게 수정했는지 사례를 적어주세요.</t>
        </is>
      </c>
      <c r="E11" s="11" t="inlineStr">
        <is>
          <t>[AI 활용] 비판적 수정 · 내 관점 덧입히기</t>
        </is>
      </c>
      <c r="F11" s="11" t="inlineStr">
        <is>
          <t>그대로 복사 vs 관점·경험 추가 재구성 — 후자 = AI 활용 우수</t>
        </is>
      </c>
      <c r="G11" s="9" t="n">
        <v>5</v>
      </c>
      <c r="H11" s="12" t="n"/>
      <c r="I11" s="13">
        <f>IF(H11="","",G11*H11/5)</f>
        <v/>
      </c>
    </row>
    <row r="12" ht="60" customHeight="1">
      <c r="B12" s="9" t="n">
        <v>7</v>
      </c>
      <c r="C12" s="10" t="inlineStr">
        <is>
          <t>역량·경험</t>
        </is>
      </c>
      <c r="D12" s="4" t="inlineStr">
        <is>
          <t>본인이 "남들보다 잘 설명할 수 있는" 주제는 무엇인가요? 그렇게 생각하는 근거는?</t>
        </is>
      </c>
      <c r="E12" s="11" t="inlineStr">
        <is>
          <t>[정성] 전문성 자신감 · 근거 제시</t>
        </is>
      </c>
      <c r="F12" s="11" t="inlineStr">
        <is>
          <t>"잘 모르겠다" vs 구체 주제 + 경험 근거 — 후자 우수</t>
        </is>
      </c>
      <c r="G12" s="9" t="n">
        <v>5</v>
      </c>
      <c r="H12" s="12" t="n"/>
      <c r="I12" s="13">
        <f>IF(H12="","",G12*H12/5)</f>
        <v/>
      </c>
    </row>
    <row r="13" ht="60" customHeight="1">
      <c r="B13" s="9" t="n">
        <v>8</v>
      </c>
      <c r="C13" s="10" t="inlineStr">
        <is>
          <t>참여 의지</t>
        </is>
      </c>
      <c r="D13" s="4" t="inlineStr">
        <is>
          <t>콘텐츠를 공개 플랫폼(블로그/인스타/링크드인 등)에 배포할 의지가 있나요?</t>
        </is>
      </c>
      <c r="E13" s="11" t="inlineStr">
        <is>
          <t>[참여] 배포 의지 · 공개 실행</t>
        </is>
      </c>
      <c r="F13" s="11" t="inlineStr">
        <is>
          <t>비공개 선호 vs 배포 의지 강 — 배포 의지가 핵심(이 트랙 본질)</t>
        </is>
      </c>
      <c r="G13" s="9" t="n">
        <v>4</v>
      </c>
      <c r="H13" s="12" t="n"/>
      <c r="I13" s="13">
        <f>IF(H13="","",G13*H13/5)</f>
        <v/>
      </c>
    </row>
    <row r="14" ht="60" customHeight="1">
      <c r="B14" s="9" t="n">
        <v>9</v>
      </c>
      <c r="C14" s="10" t="inlineStr">
        <is>
          <t>참여 의지</t>
        </is>
      </c>
      <c r="D14" s="4" t="inlineStr">
        <is>
          <t>3주 풀 참석 + 주차별 과제(전략서·제작·캘린더·배포)를 감당할 수 있나요?</t>
        </is>
      </c>
      <c r="E14" s="11" t="inlineStr">
        <is>
          <t>[참여] 커밋 가능성 · 과제 부담 감수</t>
        </is>
      </c>
      <c r="F14" s="11" t="inlineStr">
        <is>
          <t>모든 회차 + 과제 = 기본. 부분 참석 감점</t>
        </is>
      </c>
      <c r="G14" s="9" t="n">
        <v>4</v>
      </c>
      <c r="H14" s="12" t="n"/>
      <c r="I14" s="13">
        <f>IF(H14="","",G14*H14/5)</f>
        <v/>
      </c>
    </row>
    <row r="15" ht="60" customHeight="1">
      <c r="B15" s="9" t="n">
        <v>10</v>
      </c>
      <c r="C15" s="10" t="inlineStr">
        <is>
          <t>개방형</t>
        </is>
      </c>
      <c r="D15" s="4" t="inlineStr">
        <is>
          <t>본인의 커리어 방향(진로)을 한 문장으로 쓴다면?</t>
        </is>
      </c>
      <c r="E15" s="11" t="inlineStr">
        <is>
          <t>[동기] 진로 선명도 · 자기 인식</t>
        </is>
      </c>
      <c r="F15" s="11" t="inlineStr">
        <is>
          <t>모호 vs 구체 한 문장 — 후자 = 미션 정의 역량</t>
        </is>
      </c>
      <c r="G15" s="9" t="n">
        <v>2</v>
      </c>
      <c r="H15" s="12" t="n"/>
      <c r="I15" s="13">
        <f>IF(H15="","",G15*H15/5)</f>
        <v/>
      </c>
    </row>
    <row r="16" ht="60" customHeight="1">
      <c r="B16" s="9" t="n">
        <v>11</v>
      </c>
      <c r="C16" s="10" t="inlineStr">
        <is>
          <t>개방형</t>
        </is>
      </c>
      <c r="D16" s="4" t="inlineStr">
        <is>
          <t>전문성 기반 커리어를 만들 때, 본인에게 가장 어려울 것이라 예상하는 점은?</t>
        </is>
      </c>
      <c r="E16" s="11" t="inlineStr">
        <is>
          <t>[참여] 메타인지 · 리스크 인식</t>
        </is>
      </c>
      <c r="F16" s="11" t="inlineStr">
        <is>
          <t>"잘 모르겠다" vs 구체 장애물 인식 — 후자 우수</t>
        </is>
      </c>
      <c r="G16" s="9" t="n">
        <v>2</v>
      </c>
      <c r="H16" s="12" t="n"/>
      <c r="I16" s="13">
        <f>IF(H16="","",G16*H16/5)</f>
        <v/>
      </c>
    </row>
    <row r="17" ht="60" customHeight="1">
      <c r="B17" s="9" t="n">
        <v>12</v>
      </c>
      <c r="C17" s="10" t="inlineStr">
        <is>
          <t>개방형</t>
        </is>
      </c>
      <c r="D17" s="4" t="inlineStr">
        <is>
          <t>(선택) 기존 콘텐츠 포트폴리오 링크(SNS/블로그/채널)가 있으면 적어주세요.</t>
        </is>
      </c>
      <c r="E17" s="11" t="inlineStr">
        <is>
          <t>[참고] 기존 콘텐츠 — 참고용(평정 필수 아님)</t>
        </is>
      </c>
      <c r="F17" s="11" t="inlineStr">
        <is>
          <t>있으면 가산, 없어도 감점 없음</t>
        </is>
      </c>
      <c r="G17" s="9" t="n">
        <v>2</v>
      </c>
      <c r="H17" s="12" t="n"/>
      <c r="I17" s="13">
        <f>IF(H17="","",G17*H17/5)</f>
        <v/>
      </c>
    </row>
    <row r="19" ht="22" customHeight="1">
      <c r="B19" s="14" t="inlineStr">
        <is>
          <t>✍️ 응답 칸 (지원자 작성용 — 위 질문에 대해 자유롭게 서면 답변)</t>
        </is>
      </c>
    </row>
    <row r="20" ht="24" customHeight="1">
      <c r="B20" s="15" t="n"/>
    </row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31">
      <c r="F31" s="16" t="inlineStr">
        <is>
          <t>총배점</t>
        </is>
      </c>
      <c r="G31" s="17">
        <f>SUM(G6:G17)</f>
        <v/>
      </c>
      <c r="H31" s="16" t="inlineStr">
        <is>
          <t>획득 총점</t>
        </is>
      </c>
      <c r="I31" s="18">
        <f>SUM(I6:I17)</f>
        <v/>
      </c>
    </row>
  </sheetData>
  <mergeCells count="4">
    <mergeCell ref="B3:I3"/>
    <mergeCell ref="B19:I19"/>
    <mergeCell ref="B2:I2"/>
    <mergeCell ref="B20:I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12" customWidth="1" min="3" max="3"/>
    <col width="42" customWidth="1" min="4" max="4"/>
    <col width="30" customWidth="1" min="5" max="5"/>
    <col width="30" customWidth="1" min="6" max="6"/>
    <col width="7" customWidth="1" min="7" max="7"/>
    <col width="11" customWidth="1" min="8" max="8"/>
    <col width="10" customWidth="1" min="9" max="9"/>
  </cols>
  <sheetData>
    <row r="2" ht="40" customHeight="1">
      <c r="B2" s="1" t="inlineStr">
        <is>
          <t>Track 3 · 서면 인터뷰 질문 덱</t>
        </is>
      </c>
    </row>
    <row r="3">
      <c r="B3" s="2" t="inlineStr">
        <is>
          <t>AI 비즈니스 랩 · 6역량 루브릭(Agentic·미션·사업·Agent·팀워크·실험) · 12문항</t>
        </is>
      </c>
    </row>
    <row r="5" ht="30" customHeight="1">
      <c r="B5" s="20" t="inlineStr">
        <is>
          <t>번호</t>
        </is>
      </c>
      <c r="C5" s="20" t="inlineStr">
        <is>
          <t>섹션</t>
        </is>
      </c>
      <c r="D5" s="20" t="inlineStr">
        <is>
          <t>질문</t>
        </is>
      </c>
      <c r="E5" s="20" t="inlineStr">
        <is>
          <t>평가 포인트 (루브릭 매핑)</t>
        </is>
      </c>
      <c r="F5" s="20" t="inlineStr">
        <is>
          <t>차별화 가이드</t>
        </is>
      </c>
      <c r="G5" s="20" t="inlineStr">
        <is>
          <t>배점</t>
        </is>
      </c>
      <c r="H5" s="20" t="inlineStr">
        <is>
          <t>평가자 점수 (1-5)</t>
        </is>
      </c>
      <c r="I5" s="20" t="inlineStr">
        <is>
          <t>가중 점수</t>
        </is>
      </c>
    </row>
    <row r="6" ht="60" customHeight="1">
      <c r="B6" s="9" t="n">
        <v>1</v>
      </c>
      <c r="C6" s="10" t="inlineStr">
        <is>
          <t>동기·기대</t>
        </is>
      </c>
      <c r="D6" s="4" t="inlineStr">
        <is>
          <t>요즘 가장 많이 생각하는 "문제" 또는 "바꾸고 싶은 장면"은 무엇인가요?</t>
        </is>
      </c>
      <c r="E6" s="11" t="inlineStr">
        <is>
          <t>[미션 정의] 문제의식 구체성 · 진정성</t>
        </is>
      </c>
      <c r="F6" s="11" t="inlineStr">
        <is>
          <t>추상("세상이") vs 구체 장면("대학생의 X") — 후자 우수</t>
        </is>
      </c>
      <c r="G6" s="9" t="n">
        <v>3</v>
      </c>
      <c r="H6" s="12" t="n"/>
      <c r="I6" s="13">
        <f>IF(H6="","",G6*H6/5)</f>
        <v/>
      </c>
    </row>
    <row r="7" ht="60" customHeight="1">
      <c r="B7" s="9" t="n">
        <v>2</v>
      </c>
      <c r="C7" s="10" t="inlineStr">
        <is>
          <t>동기·기대</t>
        </is>
      </c>
      <c r="D7" s="4" t="inlineStr">
        <is>
          <t>"사업"이라는 단어에 대해 본인은 어떤 태도인가요? (이 트랙은 사업이 먼저, 프로덕트는 그 다음입니다.)</t>
        </is>
      </c>
      <c r="E7" s="11" t="inlineStr">
        <is>
          <t>[동기] 사업 중심 사고 공감도</t>
        </is>
      </c>
      <c r="F7" s="11" t="inlineStr">
        <is>
          <t>"앱 만들고 싶다" vs "고객·문제·결제까지" — 후자 가산</t>
        </is>
      </c>
      <c r="G7" s="9" t="n">
        <v>3</v>
      </c>
      <c r="H7" s="12" t="n"/>
      <c r="I7" s="13">
        <f>IF(H7="","",G7*H7/5)</f>
        <v/>
      </c>
    </row>
    <row r="8" ht="60" customHeight="1">
      <c r="B8" s="9" t="n">
        <v>3</v>
      </c>
      <c r="C8" s="10" t="inlineStr">
        <is>
          <t>동기·기대</t>
        </is>
      </c>
      <c r="D8" s="4" t="inlineStr">
        <is>
          <t>8월 해커톤에서 데모하고 싶은 "작동하는 무언가"를 상상해 본다면 적어주세요.</t>
        </is>
      </c>
      <c r="E8" s="11" t="inlineStr">
        <is>
          <t>[기대] 비전-실행 동시성 · 구체성</t>
        </is>
      </c>
      <c r="F8" s="11" t="inlineStr">
        <is>
          <t>"유명한 앱" vs "첫 100인 만나는 흐름" — 후자 우수</t>
        </is>
      </c>
      <c r="G8" s="9" t="n">
        <v>3</v>
      </c>
      <c r="H8" s="12" t="n"/>
      <c r="I8" s="13">
        <f>IF(H8="","",G8*H8/5)</f>
        <v/>
      </c>
    </row>
    <row r="9" ht="80" customHeight="1">
      <c r="B9" s="9" t="n">
        <v>4</v>
      </c>
      <c r="C9" s="10" t="inlineStr">
        <is>
          <t>역량·경험</t>
        </is>
      </c>
      <c r="D9" s="4" t="inlineStr">
        <is>
          <t>AI Agent(ChatGPT/Claude/Gemini/Codex/봇 등)를 현재 어디까지 써봤나요? 일상에서 Agent와 "지속 피드백 루프"를 만든 경험이 있다면.</t>
        </is>
      </c>
      <c r="E9" s="11" t="inlineStr">
        <is>
          <t>[Agentic Work 습관] 단발 사용 vs 지속 루프</t>
        </is>
      </c>
      <c r="F9" s="11" t="inlineStr">
        <is>
          <t>질문답변용 vs 매일 켜두고 맥락累积 — 후자 = 우수 등급</t>
        </is>
      </c>
      <c r="G9" s="9" t="n">
        <v>5</v>
      </c>
      <c r="H9" s="12" t="n"/>
      <c r="I9" s="13">
        <f>IF(H9="","",G9*H9/5)</f>
        <v/>
      </c>
    </row>
    <row r="10" ht="60" customHeight="1">
      <c r="B10" s="9" t="n">
        <v>5</v>
      </c>
      <c r="C10" s="10" t="inlineStr">
        <is>
          <t>역량·경험</t>
        </is>
      </c>
      <c r="D10" s="4" t="inlineStr">
        <is>
          <t>본인의 "미션"을 한 문장으로 써 본다면? ("나는 [누구]의 [어떤 변화]를 돕고 싶다")</t>
        </is>
      </c>
      <c r="E10" s="11" t="inlineStr">
        <is>
          <t>[미션 정의] 스테이트먼트 선명도 · 고객-문제-동기 연결</t>
        </is>
      </c>
      <c r="F10" s="11" t="inlineStr">
        <is>
          <t>키워드 나열 vs 완결 문장 — 후자 = 중급 이상</t>
        </is>
      </c>
      <c r="G10" s="9" t="n">
        <v>5</v>
      </c>
      <c r="H10" s="12" t="n"/>
      <c r="I10" s="13">
        <f>IF(H10="","",G10*H10/5)</f>
        <v/>
      </c>
    </row>
    <row r="11" ht="60" customHeight="1">
      <c r="B11" s="9" t="n">
        <v>6</v>
      </c>
      <c r="C11" s="10" t="inlineStr">
        <is>
          <t>역량·경험</t>
        </is>
      </c>
      <c r="D11" s="4" t="inlineStr">
        <is>
          <t>사업이나 프로젝트 아이디어가 있다면, "고객·문제·오퍼·가격"을 연결해 설명해 본다면?</t>
        </is>
      </c>
      <c r="E11" s="11" t="inlineStr">
        <is>
          <t>[사업 설계] 4요소 연결성 · 결제 단위 인식</t>
        </is>
      </c>
      <c r="F11" s="11" t="inlineStr">
        <is>
          <t>아이디어만 vs 4요소 연결 + 가격 단위 — 후자 = 중급 이상</t>
        </is>
      </c>
      <c r="G11" s="9" t="n">
        <v>5</v>
      </c>
      <c r="H11" s="12" t="n"/>
      <c r="I11" s="13">
        <f>IF(H11="","",G11*H11/5)</f>
        <v/>
      </c>
    </row>
    <row r="12" ht="60" customHeight="1">
      <c r="B12" s="9" t="n">
        <v>7</v>
      </c>
      <c r="C12" s="10" t="inlineStr">
        <is>
          <t>역량·경험</t>
        </is>
      </c>
      <c r="D12" s="4" t="inlineStr">
        <is>
          <t>팀 프로젝트에서 본인이 잘하는 역할과, 선호하는 의사결정 방식은?</t>
        </is>
      </c>
      <c r="E12" s="11" t="inlineStr">
        <is>
          <t>[팀워크] 공동 미션 · 피드백 주기 · 결정 규칙 인식</t>
        </is>
      </c>
      <c r="F12" s="11" t="inlineStr">
        <is>
          <t>역할 분담만 vs 미션·규칙·피드백 설계 — 후자 우수</t>
        </is>
      </c>
      <c r="G12" s="9" t="n">
        <v>5</v>
      </c>
      <c r="H12" s="12" t="n"/>
      <c r="I12" s="13">
        <f>IF(H12="","",G12*H12/5)</f>
        <v/>
      </c>
    </row>
    <row r="13" ht="60" customHeight="1">
      <c r="B13" s="9" t="n">
        <v>8</v>
      </c>
      <c r="C13" s="10" t="inlineStr">
        <is>
          <t>역량·경험</t>
        </is>
      </c>
      <c r="D13" s="4" t="inlineStr">
        <is>
          <t>"좋은 아이디어"와 "검증된 가설"의 차이를 본인 경험으로 설명해 본다면?</t>
        </is>
      </c>
      <c r="E13" s="11" t="inlineStr">
        <is>
          <t>[실험과 지표] 가설-검증-지표 사고</t>
        </is>
      </c>
      <c r="F13" s="11" t="inlineStr">
        <is>
          <t>"느낌" vs 가설·실험·지표 언어 사용 — 후자 우수</t>
        </is>
      </c>
      <c r="G13" s="9" t="n">
        <v>5</v>
      </c>
      <c r="H13" s="12" t="n"/>
      <c r="I13" s="13">
        <f>IF(H13="","",G13*H13/5)</f>
        <v/>
      </c>
    </row>
    <row r="14" ht="60" customHeight="1">
      <c r="B14" s="9" t="n">
        <v>9</v>
      </c>
      <c r="C14" s="10" t="inlineStr">
        <is>
          <t>참여 의지</t>
        </is>
      </c>
      <c r="D14" s="4" t="inlineStr">
        <is>
          <t>결제나 판매 경험(중고거래·클래스·굿즈·SaaS·커뮤니티 등)이 있나요? 어떤 것이든 좋습니다.</t>
        </is>
      </c>
      <c r="E14" s="11" t="inlineStr">
        <is>
          <t>[사업성·지불의사 신호] 실제 전환 경험</t>
        </is>
      </c>
      <c r="F14" s="11" t="inlineStr">
        <is>
          <t>없음(OK) vs 있음 — 있으면 지불 의사 감각에 가산</t>
        </is>
      </c>
      <c r="G14" s="9" t="n">
        <v>4</v>
      </c>
      <c r="H14" s="12" t="n"/>
      <c r="I14" s="13">
        <f>IF(H14="","",G14*H14/5)</f>
        <v/>
      </c>
    </row>
    <row r="15" ht="60" customHeight="1">
      <c r="B15" s="9" t="n">
        <v>10</v>
      </c>
      <c r="C15" s="10" t="inlineStr">
        <is>
          <t>참여 의지</t>
        </is>
      </c>
      <c r="D15" s="4" t="inlineStr">
        <is>
          <t>3주 × 4H 풀 참석 + 매 수업 Agent 켜두기 + 8월 해커톤 연계까지 커밋 가능하신가요?</t>
        </is>
      </c>
      <c r="E15" s="11" t="inlineStr">
        <is>
          <t>[참여] 풀 커밋 · Agent 상시 사용 의지</t>
        </is>
      </c>
      <c r="F15" s="11" t="inlineStr">
        <is>
          <t>부분 참석 감점 · Agent 켜두기 거부 = 부적합</t>
        </is>
      </c>
      <c r="G15" s="9" t="n">
        <v>4</v>
      </c>
      <c r="H15" s="12" t="n"/>
      <c r="I15" s="13">
        <f>IF(H15="","",G15*H15/5)</f>
        <v/>
      </c>
    </row>
    <row r="16" ht="60" customHeight="1">
      <c r="B16" s="9" t="n">
        <v>11</v>
      </c>
      <c r="C16" s="10" t="inlineStr">
        <is>
          <t>개방형</t>
        </is>
      </c>
      <c r="D16" s="4" t="inlineStr">
        <is>
          <t>본인이 피하고 싶은 팀 운영 방식은 무엇인가요?</t>
        </is>
      </c>
      <c r="E16" s="11" t="inlineStr">
        <is>
          <t>[팀워크·갈등] 협업 가치 · 갈등 인식</t>
        </is>
      </c>
      <c r="F16" s="11" t="inlineStr">
        <is>
          <t>"다 좋다" vs 구체 기피 방식 + 이유 — 후자 우수</t>
        </is>
      </c>
      <c r="G16" s="9" t="n">
        <v>2</v>
      </c>
      <c r="H16" s="12" t="n"/>
      <c r="I16" s="13">
        <f>IF(H16="","",G16*H16/5)</f>
        <v/>
      </c>
    </row>
    <row r="17" ht="60" customHeight="1">
      <c r="B17" s="9" t="n">
        <v>12</v>
      </c>
      <c r="C17" s="10" t="inlineStr">
        <is>
          <t>개방형</t>
        </is>
      </c>
      <c r="D17" s="4" t="inlineStr">
        <is>
          <t>해커톤 이후에도 계속 발전시키고 싶은 주제가 있나요?</t>
        </is>
      </c>
      <c r="E17" s="11" t="inlineStr">
        <is>
          <t>[지속성] 장기 비전 · 프로젝트 지속 의지</t>
        </is>
      </c>
      <c r="F17" s="11" t="inlineStr">
        <is>
          <t>"일단 끝내고" vs 지속 발전 의지 — 후자 가산</t>
        </is>
      </c>
      <c r="G17" s="9" t="n">
        <v>2</v>
      </c>
      <c r="H17" s="12" t="n"/>
      <c r="I17" s="13">
        <f>IF(H17="","",G17*H17/5)</f>
        <v/>
      </c>
    </row>
    <row r="19" ht="22" customHeight="1">
      <c r="B19" s="14" t="inlineStr">
        <is>
          <t>✍️ 응답 칸 (지원자 작성용 — 위 질문에 대해 자유롭게 서면 답변)</t>
        </is>
      </c>
    </row>
    <row r="20" ht="24" customHeight="1">
      <c r="B20" s="15" t="n"/>
    </row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31">
      <c r="F31" s="16" t="inlineStr">
        <is>
          <t>총배점</t>
        </is>
      </c>
      <c r="G31" s="17">
        <f>SUM(G6:G17)</f>
        <v/>
      </c>
      <c r="H31" s="16" t="inlineStr">
        <is>
          <t>획득 총점</t>
        </is>
      </c>
      <c r="I31" s="18">
        <f>SUM(I6:I17)</f>
        <v/>
      </c>
    </row>
  </sheetData>
  <mergeCells count="4">
    <mergeCell ref="B3:I3"/>
    <mergeCell ref="B19:I19"/>
    <mergeCell ref="B2:I2"/>
    <mergeCell ref="B20:I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50" customWidth="1" min="4" max="4"/>
    <col width="22" customWidth="1" min="5" max="5"/>
  </cols>
  <sheetData>
    <row r="2" ht="40" customHeight="1">
      <c r="B2" s="1" t="inlineStr">
        <is>
          <t>트랙별 역량 루브릭 ↔ 평가 축 매핑 (참고용)</t>
        </is>
      </c>
    </row>
    <row r="4" ht="28" customHeight="1">
      <c r="B4" s="21" t="inlineStr">
        <is>
          <t>트랙</t>
        </is>
      </c>
      <c r="C4" s="21" t="inlineStr">
        <is>
          <t>평가 축 / 역량</t>
        </is>
      </c>
      <c r="D4" s="21" t="inlineStr">
        <is>
          <t>세부 항목</t>
        </is>
      </c>
      <c r="E4" s="21" t="inlineStr">
        <is>
          <t>해당 질문 번호</t>
        </is>
      </c>
    </row>
    <row r="5" ht="32" customHeight="1">
      <c r="B5" s="22" t="inlineStr">
        <is>
          <t>Track 1</t>
        </is>
      </c>
      <c r="C5" s="22" t="inlineStr">
        <is>
          <t>정량 평가</t>
        </is>
      </c>
      <c r="D5" s="4" t="inlineStr">
        <is>
          <t>산출물 양 · 문헌 개수/인용 정확성 · 완성 지수(설계서·논문초안·초록)</t>
        </is>
      </c>
      <c r="E5" s="4" t="inlineStr">
        <is>
          <t>4, 5, 7</t>
        </is>
      </c>
    </row>
    <row r="6" ht="32" customHeight="1">
      <c r="B6" s="22" t="inlineStr">
        <is>
          <t>Track 1</t>
        </is>
      </c>
      <c r="C6" s="22" t="inlineStr">
        <is>
          <t>정성 평가 (연구설계 완성도)</t>
        </is>
      </c>
      <c r="D6" s="4" t="inlineStr">
        <is>
          <t>연구질문 명확성 · gap 겨냥 · 가설·기여 · 검증 현실성 · 일관성</t>
        </is>
      </c>
      <c r="E6" s="4" t="inlineStr">
        <is>
          <t>5, 4, 10</t>
        </is>
      </c>
    </row>
    <row r="7" ht="32" customHeight="1">
      <c r="B7" s="22" t="inlineStr">
        <is>
          <t>Track 1</t>
        </is>
      </c>
      <c r="C7" s="22" t="inlineStr">
        <is>
          <t>AI 활용 역량</t>
        </is>
      </c>
      <c r="D7" s="4" t="inlineStr">
        <is>
          <t>LLM 다양 산출물 생성·변형 · 워크플로우 · 비판적 검증(환각·인용)</t>
        </is>
      </c>
      <c r="E7" s="4" t="inlineStr">
        <is>
          <t>6, 10, 12</t>
        </is>
      </c>
    </row>
    <row r="8" ht="28" customHeight="1">
      <c r="B8" s="22" t="inlineStr">
        <is>
          <t>Track 2</t>
        </is>
      </c>
      <c r="C8" s="22" t="inlineStr">
        <is>
          <t>정량 평가 (참고)</t>
        </is>
      </c>
      <c r="D8" s="4" t="inlineStr">
        <is>
          <t>콘텐츠 수 · Engagement — 커리어 도달 보조 지표</t>
        </is>
      </c>
      <c r="E8" s="4" t="inlineStr">
        <is>
          <t>5, 12 (참고용)</t>
        </is>
      </c>
    </row>
    <row r="9" ht="28" customHeight="1">
      <c r="B9" s="22" t="inlineStr">
        <is>
          <t>Track 2</t>
        </is>
      </c>
      <c r="C9" s="22" t="inlineStr">
        <is>
          <t>정성 평가 (콘텐츠전략 완성도)</t>
        </is>
      </c>
      <c r="D9" s="4" t="inlineStr">
        <is>
          <t>오디언스 타겟팅 · 커리어 스토리 일관성 · 전략-실행 일치</t>
        </is>
      </c>
      <c r="E9" s="4" t="inlineStr">
        <is>
          <t>1, 2, 4, 7</t>
        </is>
      </c>
    </row>
    <row r="10" ht="28" customHeight="1">
      <c r="B10" s="22" t="inlineStr">
        <is>
          <t>Track 2</t>
        </is>
      </c>
      <c r="C10" s="22" t="inlineStr">
        <is>
          <t>AI 활용 역량</t>
        </is>
      </c>
      <c r="D10" s="4" t="inlineStr">
        <is>
          <t>LLM 다양 콘텐츠 생성·변형 · 워크플로우 · 비판적 수정</t>
        </is>
      </c>
      <c r="E10" s="4" t="inlineStr">
        <is>
          <t>6, 12</t>
        </is>
      </c>
    </row>
    <row r="11" ht="28" customHeight="1">
      <c r="B11" s="22" t="inlineStr">
        <is>
          <t>Track 3</t>
        </is>
      </c>
      <c r="C11" s="22" t="inlineStr">
        <is>
          <t>Agentic Work 습관</t>
        </is>
      </c>
      <c r="D11" s="4" t="inlineStr">
        <is>
          <t>과제 도구 vs 맥락 누적 vs 생활 전반 루프</t>
        </is>
      </c>
      <c r="E11" s="4" t="inlineStr">
        <is>
          <t>4, 10</t>
        </is>
      </c>
    </row>
    <row r="12" ht="28" customHeight="1">
      <c r="B12" s="22" t="inlineStr">
        <is>
          <t>Track 3</t>
        </is>
      </c>
      <c r="C12" s="22" t="inlineStr">
        <is>
          <t>미션 정의</t>
        </is>
      </c>
      <c r="D12" s="4" t="inlineStr">
        <is>
          <t>키워드 vs 고객·문제·동기 연결 vs 선명 스테이트먼트</t>
        </is>
      </c>
      <c r="E12" s="4" t="inlineStr">
        <is>
          <t>1, 5</t>
        </is>
      </c>
    </row>
    <row r="13" ht="28" customHeight="1">
      <c r="B13" s="22" t="inlineStr">
        <is>
          <t>Track 3</t>
        </is>
      </c>
      <c r="C13" s="22" t="inlineStr">
        <is>
          <t>사업 설계</t>
        </is>
      </c>
      <c r="D13" s="4" t="inlineStr">
        <is>
          <t>아이디어 중심 vs 4요소 연결 vs 결제·성장 루프</t>
        </is>
      </c>
      <c r="E13" s="4" t="inlineStr">
        <is>
          <t>2, 6, 9</t>
        </is>
      </c>
    </row>
    <row r="14" ht="28" customHeight="1">
      <c r="B14" s="22" t="inlineStr">
        <is>
          <t>Track 3</t>
        </is>
      </c>
      <c r="C14" s="22" t="inlineStr">
        <is>
          <t>AI Agent 활용</t>
        </is>
      </c>
      <c r="D14" s="4" t="inlineStr">
        <is>
          <t>그대로 사용 vs 역할 분담 vs Boundary 분산 배치</t>
        </is>
      </c>
      <c r="E14" s="4" t="inlineStr">
        <is>
          <t>4, 6</t>
        </is>
      </c>
    </row>
    <row r="15" ht="28" customHeight="1">
      <c r="B15" s="22" t="inlineStr">
        <is>
          <t>Track 3</t>
        </is>
      </c>
      <c r="C15" s="22" t="inlineStr">
        <is>
          <t>팀워크</t>
        </is>
      </c>
      <c r="D15" s="4" t="inlineStr">
        <is>
          <t>역할 분담 vs 공동문서·피드백 vs 미션·규칙·상호피드백</t>
        </is>
      </c>
      <c r="E15" s="4" t="inlineStr">
        <is>
          <t>7, 11</t>
        </is>
      </c>
    </row>
    <row r="16" ht="28" customHeight="1">
      <c r="B16" s="22" t="inlineStr">
        <is>
          <t>Track 3</t>
        </is>
      </c>
      <c r="C16" s="22" t="inlineStr">
        <is>
          <t>실험과 지표</t>
        </is>
      </c>
      <c r="D16" s="4" t="inlineStr">
        <is>
          <t>아이디어 주장 vs 가설·검증 vs 지표로 행동 결정</t>
        </is>
      </c>
      <c r="E16" s="4" t="inlineStr">
        <is>
          <t>3, 6, 8</t>
        </is>
      </c>
    </row>
    <row r="19" ht="26" customHeight="1">
      <c r="B19" s="14" t="inlineStr">
        <is>
          <t>💡 평정 가이드 — 중급(3점)이 선발 기준선. 초급(2)은 선발 보류, 우수(5)는 가산 대상.</t>
        </is>
      </c>
    </row>
  </sheetData>
  <mergeCells count="2">
    <mergeCell ref="B19:E19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2026-06-18T11:25:26Z</dcterms:created>
  <dcterms:modified xmlns:dcterms="http://purl.org/dc/terms/" xmlns:xsi="http://www.w3.org/2001/XMLSchema-instance" xsi:type="dcterms:W3CDTF">2026-06-18T11:25:26Z</dcterms:modified>
</cp:coreProperties>
</file>